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vill\Downloads\"/>
    </mc:Choice>
  </mc:AlternateContent>
  <xr:revisionPtr revIDLastSave="0" documentId="13_ncr:1_{B05A7A6A-E35E-412C-9FAF-B7F3DF4A673F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Gestión Proyecto Carta Gant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83" i="3" l="1"/>
  <c r="G82" i="3"/>
  <c r="G80" i="3"/>
  <c r="G79" i="3"/>
  <c r="G78" i="3"/>
  <c r="G77" i="3"/>
  <c r="G75" i="3"/>
  <c r="G74" i="3"/>
  <c r="G73" i="3"/>
  <c r="G72" i="3"/>
  <c r="G69" i="3"/>
  <c r="G68" i="3"/>
  <c r="G67" i="3"/>
  <c r="G66" i="3"/>
  <c r="G65" i="3"/>
  <c r="G64" i="3"/>
  <c r="G62" i="3"/>
  <c r="G61" i="3"/>
  <c r="G60" i="3"/>
  <c r="G59" i="3"/>
  <c r="G58" i="3"/>
  <c r="G57" i="3"/>
  <c r="G56" i="3"/>
  <c r="G55" i="3"/>
  <c r="G54" i="3"/>
  <c r="G52" i="3"/>
  <c r="G51" i="3"/>
  <c r="G50" i="3"/>
  <c r="G49" i="3"/>
  <c r="G48" i="3"/>
  <c r="G47" i="3"/>
  <c r="G46" i="3"/>
  <c r="G45" i="3"/>
  <c r="G43" i="3"/>
  <c r="G42" i="3"/>
  <c r="G41" i="3"/>
  <c r="G40" i="3"/>
  <c r="G39" i="3"/>
  <c r="G38" i="3"/>
  <c r="G37" i="3"/>
  <c r="G35" i="3"/>
  <c r="G34" i="3"/>
  <c r="G33" i="3"/>
  <c r="G32" i="3"/>
  <c r="G31" i="3"/>
  <c r="G29" i="3"/>
  <c r="G28" i="3"/>
  <c r="G27" i="3"/>
  <c r="G26" i="3"/>
  <c r="G25" i="3"/>
  <c r="G24" i="3"/>
  <c r="G21" i="3"/>
  <c r="G20" i="3"/>
  <c r="G18" i="3"/>
  <c r="G17" i="3"/>
  <c r="G16" i="3"/>
  <c r="G14" i="3"/>
  <c r="G13" i="3"/>
  <c r="G15" i="3"/>
  <c r="G19" i="3"/>
  <c r="G12" i="3"/>
  <c r="G30" i="3"/>
  <c r="G36" i="3"/>
  <c r="G44" i="3"/>
  <c r="G53" i="3"/>
  <c r="G63" i="3"/>
  <c r="G70" i="3"/>
  <c r="G71" i="3"/>
  <c r="G76" i="3"/>
  <c r="G81" i="3"/>
  <c r="G11" i="3"/>
  <c r="G23" i="3"/>
  <c r="G22" i="3"/>
  <c r="G10" i="3"/>
</calcChain>
</file>

<file path=xl/sharedStrings.xml><?xml version="1.0" encoding="utf-8"?>
<sst xmlns="http://schemas.openxmlformats.org/spreadsheetml/2006/main" count="342" uniqueCount="197">
  <si>
    <t>3.2.1</t>
  </si>
  <si>
    <t>3.2.2</t>
  </si>
  <si>
    <t>3.3.1</t>
  </si>
  <si>
    <t xml:space="preserve"> </t>
  </si>
  <si>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</si>
  <si>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</si>
  <si>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</si>
  <si>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</si>
  <si>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</si>
  <si>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</si>
  <si>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</si>
  <si>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</si>
  <si>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</si>
  <si>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</si>
  <si>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</si>
  <si>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</si>
  <si>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</si>
  <si>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</si>
  <si>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</si>
  <si>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</si>
  <si>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</si>
  <si>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1.1</t>
  </si>
  <si>
    <t>1.2</t>
  </si>
  <si>
    <t>1.3</t>
  </si>
  <si>
    <t>2.1</t>
  </si>
  <si>
    <t>2.2</t>
  </si>
  <si>
    <t>2.3</t>
  </si>
  <si>
    <t>2.4</t>
  </si>
  <si>
    <t>3.1</t>
  </si>
  <si>
    <t>3.2</t>
  </si>
  <si>
    <t>3.3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</si>
  <si>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</si>
  <si>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</si>
  <si>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</si>
  <si>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</si>
  <si>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</si>
  <si>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</si>
  <si>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</si>
  <si>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</si>
  <si>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</si>
  <si>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</si>
  <si>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</si>
  <si>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</si>
  <si>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</si>
  <si>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</si>
  <si>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</si>
  <si>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</si>
  <si>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</si>
  <si>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</si>
  <si>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</si>
  <si>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</si>
  <si>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</si>
  <si>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</si>
  <si>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</si>
  <si>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>TresStock</t>
  </si>
  <si>
    <t>Yasna Villarroel</t>
  </si>
  <si>
    <t>Minimarket "Los Tres"</t>
  </si>
  <si>
    <t>Definición de requisitos funcionales</t>
  </si>
  <si>
    <t>Definición de requisitos no funcionales</t>
  </si>
  <si>
    <t>Definición de tecnologías, repositorio y tablero Kanban</t>
  </si>
  <si>
    <t>Sebastián Carrera</t>
  </si>
  <si>
    <t>Sebastián Carrera / Yasna Villarroel</t>
  </si>
  <si>
    <t>Diseño de arquitectura de 3 capas y flujo de integración</t>
  </si>
  <si>
    <t>Esquema preliminar de base de datos SQL</t>
  </si>
  <si>
    <t>1.1.1</t>
  </si>
  <si>
    <t>1.1.2</t>
  </si>
  <si>
    <t>1.1.3</t>
  </si>
  <si>
    <t>1.2.1</t>
  </si>
  <si>
    <t>1.2.2</t>
  </si>
  <si>
    <t>1.2.3</t>
  </si>
  <si>
    <t>1.3.1</t>
  </si>
  <si>
    <t>1.3.2</t>
  </si>
  <si>
    <t>Levantamiento y definición de requisitos</t>
  </si>
  <si>
    <t>Levantamiento de procesos y revisión de DimaSoft</t>
  </si>
  <si>
    <t>Diseño preliminar del sistema</t>
  </si>
  <si>
    <t>Mockups responsive de escritorio y móvil</t>
  </si>
  <si>
    <t>Planificación, tecnologias y gestión</t>
  </si>
  <si>
    <t>Matriz RACI, plan de trabajo, Carta Gantt y cierre de Fase 1</t>
  </si>
  <si>
    <t>FASE 1 (Definición del proyecto)</t>
  </si>
  <si>
    <t>FASE 2 (Desarrollo del proyecto)</t>
  </si>
  <si>
    <t>Incremento 1 (Base y arquitectura del sistema)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</si>
  <si>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</si>
  <si>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</si>
  <si>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</si>
  <si>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</si>
  <si>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</si>
  <si>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</si>
  <si>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</si>
  <si>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</si>
  <si>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</si>
  <si>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</si>
  <si>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</si>
  <si>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2.3.1</t>
  </si>
  <si>
    <t>2.3.2</t>
  </si>
  <si>
    <t>2.3.3</t>
  </si>
  <si>
    <t>2.3.4</t>
  </si>
  <si>
    <t>2.3.5</t>
  </si>
  <si>
    <t>2.3.6</t>
  </si>
  <si>
    <t>2.3.7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</si>
  <si>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</si>
  <si>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</si>
  <si>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</si>
  <si>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</si>
  <si>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</si>
  <si>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</si>
  <si>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</si>
  <si>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</si>
  <si>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2.5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</si>
  <si>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</si>
  <si>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</si>
  <si>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</si>
  <si>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</si>
  <si>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</si>
  <si>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</si>
  <si>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</si>
  <si>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</si>
  <si>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</si>
  <si>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2.6</t>
  </si>
  <si>
    <t>2.6.1</t>
  </si>
  <si>
    <t>2.6.2</t>
  </si>
  <si>
    <t>2.6.3</t>
  </si>
  <si>
    <t>2.6.4</t>
  </si>
  <si>
    <t>2.6.5</t>
  </si>
  <si>
    <t>2.6.6</t>
  </si>
  <si>
    <t>FASE 3 (Evaluación y presentación)</t>
  </si>
  <si>
    <t>Implementación inicial de la base de datos SQL</t>
  </si>
  <si>
    <t>Estructura del backend y API base</t>
  </si>
  <si>
    <t>Autenticación, usuarios, roles y permisos</t>
  </si>
  <si>
    <t>Pruebas y revisión del Incremento 1</t>
  </si>
  <si>
    <t>Incremento 2 (Gestión de inventario)</t>
  </si>
  <si>
    <t>Modelo de inventario, stock, ventas, precios y costos</t>
  </si>
  <si>
    <t>API de entradas, salidas, ajustes y movimientos</t>
  </si>
  <si>
    <t>Pruebas y revisión del Incremento 2</t>
  </si>
  <si>
    <t>Incremento 3 (Integración con Dimasoft)</t>
  </si>
  <si>
    <t>Análisis y mapeo de datos provenientes de DimaSoft</t>
  </si>
  <si>
    <t>Diseño del proceso de ingesta, validación y transformación</t>
  </si>
  <si>
    <t>Implementación de importación Excel/CSV</t>
  </si>
  <si>
    <t>Servicios API para datos históricos e integración</t>
  </si>
  <si>
    <t>Registro de errores y trazabilidad de importaciones</t>
  </si>
  <si>
    <t>Integración y revisión del Incremento 3</t>
  </si>
  <si>
    <t>Preparación y entrega del avance</t>
  </si>
  <si>
    <t>Escaneo de códigos de barras mediante cámara</t>
  </si>
  <si>
    <t>Flujo responsive de consulta y operaciones de inventario</t>
  </si>
  <si>
    <t>Dashboard, indicadores, gráficos y reportes</t>
  </si>
  <si>
    <t>Revisión y cierre del Incremento 4</t>
  </si>
  <si>
    <t>Incremento 5 (Alertas, analítica, machine learning y recomendaciones)</t>
  </si>
  <si>
    <t>Estructura de datos para vencimientos y alertas</t>
  </si>
  <si>
    <t>Preparación del conjunto histórico de ventas</t>
  </si>
  <si>
    <t>Limpieza, análisis exploratorio y preparación de variables</t>
  </si>
  <si>
    <t>Desarrollo del modelo base de regresión lineal</t>
  </si>
  <si>
    <t>Evaluación del modelo y métricas de predicción</t>
  </si>
  <si>
    <t>Definición de reglas de negocio para recomendaciones</t>
  </si>
  <si>
    <t>API de predicciones y recomendaciones</t>
  </si>
  <si>
    <t>Visualización de predicciones y recomendaciones en dashboard</t>
  </si>
  <si>
    <t>Integración, pruebas y cierre fase 2</t>
  </si>
  <si>
    <t>Pruebas funcionales del sistema</t>
  </si>
  <si>
    <t>Pruebas de seguridad, roles y permisos</t>
  </si>
  <si>
    <t>Corrección de errores y estabilización</t>
  </si>
  <si>
    <t>Despliegue en entorno de demostración</t>
  </si>
  <si>
    <t>Entrega final de la Fase 2</t>
  </si>
  <si>
    <t>3.1.1</t>
  </si>
  <si>
    <t>3.1.2</t>
  </si>
  <si>
    <t>3.1.3</t>
  </si>
  <si>
    <t>3.1.4</t>
  </si>
  <si>
    <t>3.2.3</t>
  </si>
  <si>
    <t>3.2.4</t>
  </si>
  <si>
    <t>Presentación preliminar y retroalimentación</t>
  </si>
  <si>
    <t>Mejoras y preparación final</t>
  </si>
  <si>
    <t>Presentación final</t>
  </si>
  <si>
    <t>Preparación de guion y presentación preliminar</t>
  </si>
  <si>
    <t>Validación técnica de la demostración</t>
  </si>
  <si>
    <t>Presentación preliminar del proyecto</t>
  </si>
  <si>
    <t>Registro de fortalezas, debilidades y retroalimentación</t>
  </si>
  <si>
    <t>Planificación de mejoras según retroalimentación</t>
  </si>
  <si>
    <t>Ajustes técnicos finales</t>
  </si>
  <si>
    <t>Actualización de informe y presentación final</t>
  </si>
  <si>
    <t>Validación final y ensayo de defensa</t>
  </si>
  <si>
    <t>Presentación final del proyecto</t>
  </si>
  <si>
    <t>3.3.2</t>
  </si>
  <si>
    <t>Examen final ante comisión</t>
  </si>
  <si>
    <t>SEMANA 18</t>
  </si>
  <si>
    <t>Agosto</t>
  </si>
  <si>
    <t>Septiembre</t>
  </si>
  <si>
    <t>Octubre</t>
  </si>
  <si>
    <t>Noviembre</t>
  </si>
  <si>
    <t>Diciembre</t>
  </si>
  <si>
    <t>Estructura base del frontend y aplicación web progresiva</t>
  </si>
  <si>
    <t>Interfaz web responsive de inventario y stock</t>
  </si>
  <si>
    <t>Incremento 4 (Aplicación Web Progresiva responsive y dashboard)</t>
  </si>
  <si>
    <t>Diseño responsive, navegación y vistas principales de la aplicación web</t>
  </si>
  <si>
    <t>Configuración de la aplicación web progresiva para instalación y funcionamiento</t>
  </si>
  <si>
    <t>Conexión de la aplicación web con API y autenticación</t>
  </si>
  <si>
    <t>Pruebas de la aplicación web en escritorio y dispositivos móviles</t>
  </si>
  <si>
    <t>Integración de aplicación web, backend, base de datos, ingesta y módulo analítico</t>
  </si>
  <si>
    <t>Interfaces de gestión de usuarios, productos, categorías y proveedores</t>
  </si>
  <si>
    <t>Interfaz de historial de movimientos y configuración de stock mínimo</t>
  </si>
  <si>
    <t>Interfaz y visualización de vencimientos y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</si>
</sst>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F800]dddd\,\ mmmm\ dd\,\ yyyy"/>
    <numFmt numFmtId="166" formatCode="dd\-mm\-yyyy"/>
  </numFmts>
  <fonts count="20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b/>
      <sz val="12"/>
      <color theme="1"/>
      <name val="Corbel"/>
      <family val="2"/>
      <scheme val="minor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sz val="9"/>
      <color rgb="FF222222"/>
      <name val="Century Gothic"/>
      <family val="2"/>
    </font>
    <font>
      <b/>
      <sz val="10"/>
      <color theme="1"/>
      <name val="Century Gothic"/>
      <family val="2"/>
    </font>
    <font>
      <sz val="9"/>
      <color rgb="FF000000"/>
      <name val="Century Gothic"/>
      <family val="2"/>
    </font>
    <font>
      <sz val="9"/>
      <color theme="1"/>
      <name val="Corbel"/>
      <family val="2"/>
      <scheme val="minor"/>
    </font>
    <font>
      <sz val="9"/>
      <color theme="1"/>
      <name val="Century Gothic"/>
      <family val="1"/>
    </font>
    <font>
      <b/>
      <sz val="12"/>
      <color theme="0"/>
      <name val="Century Gothic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EAEEF3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89999084444715716"/>
        <bgColor indexed="64"/>
      </patternFill>
    </fill>
  </fills>
  <borders count="4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77111117893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249977111117893"/>
      </right>
      <top/>
      <bottom style="medium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1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8" borderId="11" xfId="0" applyFont="1" applyFill="1" applyBorder="1" applyAlignment="1">
      <alignment horizontal="center" wrapText="1"/>
    </xf>
    <xf numFmtId="0" fontId="6" fillId="8" borderId="10" xfId="0" applyFont="1" applyFill="1" applyBorder="1" applyAlignment="1">
      <alignment horizontal="center" vertical="top" wrapText="1"/>
    </xf>
    <xf numFmtId="0" fontId="7" fillId="12" borderId="7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1" xfId="0" applyFont="1" applyBorder="1"/>
    <xf numFmtId="0" fontId="4" fillId="13" borderId="1" xfId="0" applyFont="1" applyFill="1" applyBorder="1"/>
    <xf numFmtId="0" fontId="4" fillId="17" borderId="1" xfId="0" applyFont="1" applyFill="1" applyBorder="1"/>
    <xf numFmtId="0" fontId="4" fillId="7" borderId="1" xfId="0" applyFont="1" applyFill="1" applyBorder="1"/>
    <xf numFmtId="0" fontId="7" fillId="18" borderId="5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4" fillId="0" borderId="0" xfId="0" applyFont="1" applyAlignment="1">
      <alignment horizontal="left" vertical="center" wrapText="1" indent="1"/>
    </xf>
    <xf numFmtId="0" fontId="8" fillId="19" borderId="0" xfId="0" applyFont="1" applyFill="1" applyAlignment="1">
      <alignment vertical="center"/>
    </xf>
    <xf numFmtId="0" fontId="4" fillId="19" borderId="0" xfId="0" applyFont="1" applyFill="1" applyAlignment="1">
      <alignment horizontal="left" vertical="center" wrapText="1" indent="1"/>
    </xf>
    <xf numFmtId="49" fontId="4" fillId="9" borderId="16" xfId="0" applyNumberFormat="1" applyFont="1" applyFill="1" applyBorder="1" applyAlignment="1">
      <alignment horizontal="left" vertical="center" indent="1"/>
    </xf>
    <xf numFmtId="0" fontId="4" fillId="0" borderId="17" xfId="0" applyFont="1" applyBorder="1"/>
    <xf numFmtId="0" fontId="6" fillId="8" borderId="19" xfId="0" applyFont="1" applyFill="1" applyBorder="1" applyAlignment="1">
      <alignment horizontal="center" vertical="top" wrapText="1"/>
    </xf>
    <xf numFmtId="9" fontId="7" fillId="8" borderId="20" xfId="1" applyFont="1" applyFill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9" fontId="7" fillId="8" borderId="15" xfId="1" applyFont="1" applyFill="1" applyBorder="1" applyAlignment="1">
      <alignment horizontal="center" vertical="center"/>
    </xf>
    <xf numFmtId="165" fontId="4" fillId="9" borderId="22" xfId="0" applyNumberFormat="1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 indent="1"/>
    </xf>
    <xf numFmtId="0" fontId="6" fillId="13" borderId="21" xfId="0" applyFont="1" applyFill="1" applyBorder="1" applyAlignment="1">
      <alignment horizontal="left" vertical="center" wrapText="1" indent="1"/>
    </xf>
    <xf numFmtId="0" fontId="6" fillId="13" borderId="21" xfId="0" applyFont="1" applyFill="1" applyBorder="1" applyAlignment="1">
      <alignment horizontal="left" vertical="center" indent="1"/>
    </xf>
    <xf numFmtId="0" fontId="6" fillId="13" borderId="23" xfId="0" applyFont="1" applyFill="1" applyBorder="1" applyAlignment="1">
      <alignment horizontal="left" vertical="center" wrapText="1" indent="1"/>
    </xf>
    <xf numFmtId="0" fontId="6" fillId="13" borderId="25" xfId="0" applyFont="1" applyFill="1" applyBorder="1" applyAlignment="1">
      <alignment horizontal="left" vertical="center" wrapText="1" indent="1"/>
    </xf>
    <xf numFmtId="0" fontId="4" fillId="0" borderId="26" xfId="0" applyFont="1" applyBorder="1" applyAlignment="1">
      <alignment horizontal="left" vertical="center" wrapText="1" indent="1"/>
    </xf>
    <xf numFmtId="0" fontId="4" fillId="9" borderId="22" xfId="0" applyFont="1" applyFill="1" applyBorder="1" applyAlignment="1">
      <alignment horizontal="left" vertical="center" wrapText="1" indent="1"/>
    </xf>
    <xf numFmtId="0" fontId="6" fillId="8" borderId="29" xfId="0" applyFont="1" applyFill="1" applyBorder="1" applyAlignment="1">
      <alignment horizontal="center" wrapText="1"/>
    </xf>
    <xf numFmtId="0" fontId="6" fillId="8" borderId="27" xfId="0" applyFont="1" applyFill="1" applyBorder="1" applyAlignment="1">
      <alignment horizontal="center" wrapText="1"/>
    </xf>
    <xf numFmtId="0" fontId="6" fillId="8" borderId="25" xfId="0" applyFont="1" applyFill="1" applyBorder="1" applyAlignment="1">
      <alignment horizontal="center" vertical="top" wrapText="1"/>
    </xf>
    <xf numFmtId="0" fontId="6" fillId="8" borderId="26" xfId="0" applyFont="1" applyFill="1" applyBorder="1" applyAlignment="1">
      <alignment horizontal="center" vertical="top" wrapText="1"/>
    </xf>
    <xf numFmtId="0" fontId="7" fillId="21" borderId="5" xfId="0" applyFont="1" applyFill="1" applyBorder="1" applyAlignment="1">
      <alignment horizontal="center" vertical="center"/>
    </xf>
    <xf numFmtId="0" fontId="7" fillId="21" borderId="6" xfId="0" applyFont="1" applyFill="1" applyBorder="1" applyAlignment="1">
      <alignment horizontal="center" vertical="center"/>
    </xf>
    <xf numFmtId="49" fontId="4" fillId="25" borderId="16" xfId="0" applyNumberFormat="1" applyFont="1" applyFill="1" applyBorder="1" applyAlignment="1">
      <alignment horizontal="left" vertical="center" indent="1"/>
    </xf>
    <xf numFmtId="9" fontId="7" fillId="25" borderId="15" xfId="1" applyFont="1" applyFill="1" applyBorder="1" applyAlignment="1">
      <alignment horizontal="center" vertical="center"/>
    </xf>
    <xf numFmtId="0" fontId="4" fillId="25" borderId="17" xfId="0" applyFont="1" applyFill="1" applyBorder="1"/>
    <xf numFmtId="0" fontId="4" fillId="25" borderId="1" xfId="0" applyFont="1" applyFill="1" applyBorder="1"/>
    <xf numFmtId="0" fontId="4" fillId="25" borderId="2" xfId="0" applyFont="1" applyFill="1" applyBorder="1"/>
    <xf numFmtId="0" fontId="11" fillId="0" borderId="0" xfId="0" applyFont="1"/>
    <xf numFmtId="0" fontId="7" fillId="8" borderId="3" xfId="0" applyFont="1" applyFill="1" applyBorder="1" applyAlignment="1">
      <alignment horizontal="left" vertical="center" indent="1"/>
    </xf>
    <xf numFmtId="0" fontId="7" fillId="8" borderId="4" xfId="0" applyFont="1" applyFill="1" applyBorder="1" applyAlignment="1">
      <alignment horizontal="left" vertical="center" indent="2"/>
    </xf>
    <xf numFmtId="14" fontId="7" fillId="8" borderId="30" xfId="0" applyNumberFormat="1" applyFont="1" applyFill="1" applyBorder="1" applyAlignment="1">
      <alignment horizontal="center" vertical="center"/>
    </xf>
    <xf numFmtId="14" fontId="7" fillId="8" borderId="28" xfId="0" applyNumberFormat="1" applyFont="1" applyFill="1" applyBorder="1" applyAlignment="1">
      <alignment horizontal="center" vertical="center"/>
    </xf>
    <xf numFmtId="1" fontId="7" fillId="8" borderId="4" xfId="0" applyNumberFormat="1" applyFont="1" applyFill="1" applyBorder="1" applyAlignment="1">
      <alignment horizontal="center" vertical="center"/>
    </xf>
    <xf numFmtId="0" fontId="7" fillId="8" borderId="17" xfId="0" applyFont="1" applyFill="1" applyBorder="1"/>
    <xf numFmtId="0" fontId="7" fillId="8" borderId="1" xfId="0" applyFont="1" applyFill="1" applyBorder="1"/>
    <xf numFmtId="0" fontId="7" fillId="8" borderId="2" xfId="0" applyFont="1" applyFill="1" applyBorder="1"/>
    <xf numFmtId="0" fontId="7" fillId="8" borderId="2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164" fontId="7" fillId="8" borderId="31" xfId="0" applyNumberFormat="1" applyFont="1" applyFill="1" applyBorder="1" applyAlignment="1">
      <alignment horizontal="center" vertical="center"/>
    </xf>
    <xf numFmtId="164" fontId="7" fillId="8" borderId="17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wrapText="1"/>
    </xf>
    <xf numFmtId="0" fontId="6" fillId="8" borderId="9" xfId="0" applyFont="1" applyFill="1" applyBorder="1" applyAlignment="1">
      <alignment horizontal="center" vertical="top" wrapText="1"/>
    </xf>
    <xf numFmtId="0" fontId="6" fillId="8" borderId="18" xfId="0" applyFont="1" applyFill="1" applyBorder="1" applyAlignment="1">
      <alignment horizontal="center" vertical="center" wrapText="1"/>
    </xf>
    <xf numFmtId="0" fontId="12" fillId="0" borderId="0" xfId="0" applyFont="1"/>
    <xf numFmtId="0" fontId="12" fillId="26" borderId="0" xfId="0" applyFont="1" applyFill="1"/>
    <xf numFmtId="49" fontId="13" fillId="9" borderId="16" xfId="0" applyNumberFormat="1" applyFont="1" applyFill="1" applyBorder="1" applyAlignment="1">
      <alignment horizontal="left" vertical="center" indent="1"/>
    </xf>
    <xf numFmtId="0" fontId="16" fillId="24" borderId="2" xfId="0" applyFont="1" applyFill="1" applyBorder="1" applyAlignment="1">
      <alignment horizontal="left" vertical="center" wrapText="1" indent="2"/>
    </xf>
    <xf numFmtId="0" fontId="14" fillId="0" borderId="1" xfId="0" applyFont="1" applyBorder="1" applyAlignment="1">
      <alignment horizontal="left" vertical="center" wrapText="1"/>
    </xf>
    <xf numFmtId="166" fontId="14" fillId="0" borderId="31" xfId="0" applyNumberFormat="1" applyFont="1" applyBorder="1" applyAlignment="1">
      <alignment horizontal="center" vertical="center" wrapText="1"/>
    </xf>
    <xf numFmtId="166" fontId="14" fillId="23" borderId="17" xfId="0" applyNumberFormat="1" applyFont="1" applyFill="1" applyBorder="1" applyAlignment="1">
      <alignment horizontal="center" vertical="center" wrapText="1"/>
    </xf>
    <xf numFmtId="1" fontId="13" fillId="9" borderId="1" xfId="0" applyNumberFormat="1" applyFont="1" applyFill="1" applyBorder="1" applyAlignment="1">
      <alignment horizontal="center" vertical="center"/>
    </xf>
    <xf numFmtId="9" fontId="15" fillId="0" borderId="15" xfId="1" applyFont="1" applyBorder="1" applyAlignment="1">
      <alignment horizontal="center" vertical="center"/>
    </xf>
    <xf numFmtId="0" fontId="13" fillId="0" borderId="17" xfId="0" applyFont="1" applyBorder="1"/>
    <xf numFmtId="0" fontId="13" fillId="0" borderId="1" xfId="0" applyFont="1" applyBorder="1"/>
    <xf numFmtId="0" fontId="13" fillId="13" borderId="1" xfId="0" applyFont="1" applyFill="1" applyBorder="1"/>
    <xf numFmtId="0" fontId="13" fillId="0" borderId="2" xfId="0" applyFont="1" applyBorder="1"/>
    <xf numFmtId="0" fontId="13" fillId="17" borderId="1" xfId="0" applyFont="1" applyFill="1" applyBorder="1"/>
    <xf numFmtId="0" fontId="13" fillId="9" borderId="1" xfId="0" applyFont="1" applyFill="1" applyBorder="1"/>
    <xf numFmtId="0" fontId="13" fillId="7" borderId="1" xfId="0" applyFont="1" applyFill="1" applyBorder="1"/>
    <xf numFmtId="0" fontId="17" fillId="0" borderId="0" xfId="0" applyFont="1"/>
    <xf numFmtId="0" fontId="17" fillId="6" borderId="0" xfId="0" applyFont="1" applyFill="1"/>
    <xf numFmtId="49" fontId="18" fillId="9" borderId="16" xfId="0" applyNumberFormat="1" applyFont="1" applyFill="1" applyBorder="1" applyAlignment="1">
      <alignment horizontal="left" vertical="center" indent="1"/>
    </xf>
    <xf numFmtId="9" fontId="6" fillId="0" borderId="15" xfId="1" applyFont="1" applyBorder="1" applyAlignment="1">
      <alignment horizontal="center" vertical="center"/>
    </xf>
    <xf numFmtId="0" fontId="18" fillId="0" borderId="17" xfId="0" applyFont="1" applyBorder="1"/>
    <xf numFmtId="0" fontId="18" fillId="0" borderId="1" xfId="0" applyFont="1" applyBorder="1"/>
    <xf numFmtId="0" fontId="18" fillId="13" borderId="1" xfId="0" applyFont="1" applyFill="1" applyBorder="1"/>
    <xf numFmtId="0" fontId="18" fillId="0" borderId="2" xfId="0" applyFont="1" applyBorder="1"/>
    <xf numFmtId="0" fontId="18" fillId="17" borderId="1" xfId="0" applyFont="1" applyFill="1" applyBorder="1"/>
    <xf numFmtId="0" fontId="18" fillId="9" borderId="1" xfId="0" applyFont="1" applyFill="1" applyBorder="1"/>
    <xf numFmtId="0" fontId="18" fillId="7" borderId="1" xfId="0" applyFont="1" applyFill="1" applyBorder="1"/>
    <xf numFmtId="0" fontId="18" fillId="0" borderId="2" xfId="0" applyFont="1" applyBorder="1" applyAlignment="1">
      <alignment horizontal="left" vertical="center" indent="2"/>
    </xf>
    <xf numFmtId="0" fontId="7" fillId="8" borderId="3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0" fillId="27" borderId="0" xfId="0" applyFill="1"/>
    <xf numFmtId="49" fontId="13" fillId="17" borderId="16" xfId="0" applyNumberFormat="1" applyFont="1" applyFill="1" applyBorder="1" applyAlignment="1">
      <alignment horizontal="left" vertical="center" indent="1"/>
    </xf>
    <xf numFmtId="0" fontId="14" fillId="17" borderId="2" xfId="0" applyFont="1" applyFill="1" applyBorder="1" applyAlignment="1">
      <alignment horizontal="left" vertical="center" wrapText="1" indent="1"/>
    </xf>
    <xf numFmtId="0" fontId="14" fillId="17" borderId="1" xfId="0" applyFont="1" applyFill="1" applyBorder="1" applyAlignment="1">
      <alignment horizontal="left" vertical="center" wrapText="1"/>
    </xf>
    <xf numFmtId="166" fontId="14" fillId="17" borderId="31" xfId="0" applyNumberFormat="1" applyFont="1" applyFill="1" applyBorder="1" applyAlignment="1">
      <alignment horizontal="center" vertical="center" wrapText="1"/>
    </xf>
    <xf numFmtId="166" fontId="14" fillId="17" borderId="17" xfId="0" applyNumberFormat="1" applyFont="1" applyFill="1" applyBorder="1" applyAlignment="1">
      <alignment horizontal="center" vertical="center" wrapText="1"/>
    </xf>
    <xf numFmtId="1" fontId="13" fillId="17" borderId="1" xfId="0" applyNumberFormat="1" applyFont="1" applyFill="1" applyBorder="1" applyAlignment="1">
      <alignment horizontal="center" vertical="center"/>
    </xf>
    <xf numFmtId="9" fontId="15" fillId="17" borderId="15" xfId="1" applyFont="1" applyFill="1" applyBorder="1" applyAlignment="1">
      <alignment horizontal="center" vertical="center"/>
    </xf>
    <xf numFmtId="0" fontId="13" fillId="17" borderId="17" xfId="0" applyFont="1" applyFill="1" applyBorder="1"/>
    <xf numFmtId="0" fontId="13" fillId="17" borderId="2" xfId="0" applyFont="1" applyFill="1" applyBorder="1"/>
    <xf numFmtId="49" fontId="18" fillId="7" borderId="16" xfId="0" applyNumberFormat="1" applyFont="1" applyFill="1" applyBorder="1" applyAlignment="1">
      <alignment horizontal="left" vertical="center" indent="1"/>
    </xf>
    <xf numFmtId="0" fontId="18" fillId="7" borderId="2" xfId="0" applyFont="1" applyFill="1" applyBorder="1" applyAlignment="1">
      <alignment horizontal="left" vertical="center" indent="1"/>
    </xf>
    <xf numFmtId="0" fontId="18" fillId="7" borderId="1" xfId="0" applyFont="1" applyFill="1" applyBorder="1" applyAlignment="1">
      <alignment horizontal="left" vertical="center" indent="1"/>
    </xf>
    <xf numFmtId="164" fontId="18" fillId="7" borderId="31" xfId="0" applyNumberFormat="1" applyFont="1" applyFill="1" applyBorder="1" applyAlignment="1">
      <alignment horizontal="center" vertical="center"/>
    </xf>
    <xf numFmtId="164" fontId="18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9" fontId="6" fillId="7" borderId="15" xfId="1" applyFont="1" applyFill="1" applyBorder="1" applyAlignment="1">
      <alignment horizontal="center" vertical="center"/>
    </xf>
    <xf numFmtId="0" fontId="18" fillId="7" borderId="17" xfId="0" applyFont="1" applyFill="1" applyBorder="1"/>
    <xf numFmtId="0" fontId="18" fillId="7" borderId="2" xfId="0" applyFont="1" applyFill="1" applyBorder="1"/>
    <xf numFmtId="0" fontId="18" fillId="25" borderId="2" xfId="0" applyFont="1" applyFill="1" applyBorder="1" applyAlignment="1">
      <alignment horizontal="left" vertical="center" indent="1"/>
    </xf>
    <xf numFmtId="0" fontId="4" fillId="25" borderId="1" xfId="0" applyFont="1" applyFill="1" applyBorder="1" applyAlignment="1">
      <alignment horizontal="left" vertical="center" indent="1"/>
    </xf>
    <xf numFmtId="164" fontId="4" fillId="25" borderId="17" xfId="0" applyNumberFormat="1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left" vertical="center"/>
    </xf>
    <xf numFmtId="0" fontId="13" fillId="16" borderId="17" xfId="0" applyFont="1" applyFill="1" applyBorder="1"/>
    <xf numFmtId="0" fontId="13" fillId="16" borderId="1" xfId="0" applyFont="1" applyFill="1" applyBorder="1"/>
    <xf numFmtId="0" fontId="18" fillId="28" borderId="1" xfId="0" applyFont="1" applyFill="1" applyBorder="1"/>
    <xf numFmtId="0" fontId="18" fillId="28" borderId="2" xfId="0" applyFont="1" applyFill="1" applyBorder="1"/>
    <xf numFmtId="0" fontId="13" fillId="25" borderId="2" xfId="0" applyFont="1" applyFill="1" applyBorder="1"/>
    <xf numFmtId="0" fontId="13" fillId="25" borderId="1" xfId="0" applyFont="1" applyFill="1" applyBorder="1"/>
    <xf numFmtId="0" fontId="18" fillId="25" borderId="2" xfId="0" applyFont="1" applyFill="1" applyBorder="1"/>
    <xf numFmtId="0" fontId="18" fillId="25" borderId="1" xfId="0" applyFont="1" applyFill="1" applyBorder="1"/>
    <xf numFmtId="0" fontId="13" fillId="28" borderId="1" xfId="0" applyFont="1" applyFill="1" applyBorder="1"/>
    <xf numFmtId="0" fontId="4" fillId="28" borderId="1" xfId="0" applyFont="1" applyFill="1" applyBorder="1"/>
    <xf numFmtId="0" fontId="4" fillId="28" borderId="2" xfId="0" applyFont="1" applyFill="1" applyBorder="1"/>
    <xf numFmtId="0" fontId="3" fillId="20" borderId="34" xfId="0" applyFont="1" applyFill="1" applyBorder="1" applyAlignment="1">
      <alignment horizontal="center" vertical="center"/>
    </xf>
    <xf numFmtId="0" fontId="3" fillId="20" borderId="32" xfId="0" applyFont="1" applyFill="1" applyBorder="1" applyAlignment="1">
      <alignment horizontal="center" vertical="center"/>
    </xf>
    <xf numFmtId="0" fontId="3" fillId="20" borderId="33" xfId="0" applyFont="1" applyFill="1" applyBorder="1" applyAlignment="1">
      <alignment horizontal="center" vertical="center"/>
    </xf>
    <xf numFmtId="0" fontId="3" fillId="22" borderId="36" xfId="0" applyFont="1" applyFill="1" applyBorder="1" applyAlignment="1">
      <alignment horizontal="center" vertical="center"/>
    </xf>
    <xf numFmtId="0" fontId="3" fillId="22" borderId="37" xfId="0" applyFont="1" applyFill="1" applyBorder="1" applyAlignment="1">
      <alignment horizontal="center" vertical="center"/>
    </xf>
    <xf numFmtId="0" fontId="19" fillId="29" borderId="35" xfId="0" applyFont="1" applyFill="1" applyBorder="1" applyAlignment="1">
      <alignment horizontal="center" vertical="center"/>
    </xf>
    <xf numFmtId="0" fontId="19" fillId="29" borderId="39" xfId="0" applyFont="1" applyFill="1" applyBorder="1" applyAlignment="1">
      <alignment horizontal="center" vertical="center"/>
    </xf>
    <xf numFmtId="0" fontId="19" fillId="29" borderId="40" xfId="0" applyFont="1" applyFill="1" applyBorder="1" applyAlignment="1">
      <alignment horizontal="center" vertical="center"/>
    </xf>
    <xf numFmtId="0" fontId="19" fillId="29" borderId="41" xfId="0" applyFont="1" applyFill="1" applyBorder="1" applyAlignment="1">
      <alignment horizontal="center" vertical="center"/>
    </xf>
    <xf numFmtId="0" fontId="3" fillId="10" borderId="36" xfId="0" applyFont="1" applyFill="1" applyBorder="1" applyAlignment="1">
      <alignment horizontal="center" vertical="center"/>
    </xf>
    <xf numFmtId="0" fontId="3" fillId="10" borderId="37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3" fillId="14" borderId="36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/>
    </xf>
    <xf numFmtId="0" fontId="3" fillId="14" borderId="38" xfId="0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EE57AD"/>
      <color rgb="FFFFDCE4"/>
      <color rgb="FF01BD32"/>
      <color rgb="FFEAEEF3"/>
      <color rgb="FF6A3AFF"/>
      <color rgb="FFFFC11D"/>
      <color rgb="FFED7C00"/>
      <color rgb="FF732EE0"/>
      <color rgb="FFF1B93C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MO83"/>
  <sheetViews>
    <sheetView showGridLines="0" tabSelected="1" zoomScaleNormal="100" workbookViewId="0">
      <selection activeCell="C58" sqref="C58"/>
    </sheetView>
  </sheetViews>
  <sheetFormatPr baseColWidth="10" defaultColWidth="10.796875" defaultRowHeight="15.6" x14ac:dyDescent="0.3"/>
  <cols>
    <col min="1" max="1" width="3.19921875" customWidth="1"/>
    <col min="2" max="2" width="13.796875" customWidth="1"/>
    <col min="3" max="3" width="67.19921875" bestFit="1" customWidth="1"/>
    <col min="4" max="4" width="27.3984375" bestFit="1" customWidth="1"/>
    <col min="5" max="5" width="12.796875" customWidth="1"/>
    <col min="6" max="7" width="9.796875" customWidth="1"/>
    <col min="8" max="8" width="18.19921875" customWidth="1"/>
    <col min="9" max="98" width="3.296875" customWidth="1"/>
  </cols>
  <sheetData>
    <row r="1" spans="1:353" s="21" customFormat="1" ht="49.95" customHeight="1" x14ac:dyDescent="0.3">
      <c r="B1" s="22" t="s">
        <v>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/>
      <c r="O1"/>
      <c r="P1"/>
      <c r="Q1" s="23"/>
      <c r="R1" s="23"/>
      <c r="S1" s="23"/>
    </row>
    <row r="2" spans="1:353" s="1" customFormat="1" ht="34.950000000000003" customHeight="1" x14ac:dyDescent="0.25">
      <c r="B2" s="32" t="s">
        <v>5</v>
      </c>
      <c r="C2" s="37" t="s">
        <v>54</v>
      </c>
    </row>
    <row r="3" spans="1:353" s="1" customFormat="1" ht="23.4" thickBot="1" x14ac:dyDescent="0.3">
      <c r="B3" s="35" t="s">
        <v>6</v>
      </c>
      <c r="C3" s="36" t="s">
        <v>55</v>
      </c>
    </row>
    <row r="4" spans="1:353" s="1" customFormat="1" ht="34.799999999999997" thickTop="1" x14ac:dyDescent="0.25">
      <c r="B4" s="34" t="s">
        <v>7</v>
      </c>
      <c r="C4" s="31" t="s">
        <v>56</v>
      </c>
    </row>
    <row r="5" spans="1:353" s="1" customFormat="1" ht="15" x14ac:dyDescent="0.25">
      <c r="B5" s="33" t="s">
        <v>8</v>
      </c>
      <c r="C5" s="30">
        <v>46244</v>
      </c>
    </row>
    <row r="6" spans="1:353" s="1" customFormat="1" ht="18" customHeight="1" x14ac:dyDescent="0.25">
      <c r="B6" s="2"/>
      <c r="I6" s="136" t="s">
        <v>181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7" t="s">
        <v>182</v>
      </c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9"/>
      <c r="AU6" s="136" t="s">
        <v>183</v>
      </c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 t="s">
        <v>184</v>
      </c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6"/>
      <c r="CD6" s="136"/>
      <c r="CE6" s="136"/>
      <c r="CF6" s="136"/>
      <c r="CG6" s="136"/>
      <c r="CH6" s="136"/>
      <c r="CI6" s="136"/>
      <c r="CJ6" s="136"/>
      <c r="CK6" s="136"/>
      <c r="CL6" s="136" t="s">
        <v>185</v>
      </c>
      <c r="CM6" s="136"/>
      <c r="CN6" s="136"/>
      <c r="CO6" s="136"/>
      <c r="CP6" s="136"/>
      <c r="CQ6" s="136"/>
      <c r="CR6" s="136"/>
      <c r="CS6" s="136"/>
      <c r="CT6" s="136"/>
    </row>
    <row r="7" spans="1:353" ht="19.95" customHeight="1" thickBot="1" x14ac:dyDescent="0.35">
      <c r="B7" s="3"/>
      <c r="C7" s="4"/>
      <c r="D7" s="4"/>
      <c r="E7" s="4"/>
      <c r="F7" s="4"/>
      <c r="G7" s="4"/>
      <c r="H7" s="4"/>
      <c r="I7" s="140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2"/>
      <c r="AC7" s="145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7"/>
      <c r="AW7" s="150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2"/>
      <c r="BQ7" s="155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7"/>
      <c r="CK7" s="134" t="s">
        <v>53</v>
      </c>
      <c r="CL7" s="135"/>
      <c r="CM7" s="135"/>
      <c r="CN7" s="135"/>
      <c r="CO7" s="135"/>
      <c r="CP7" s="135"/>
      <c r="CQ7" s="135"/>
      <c r="CR7" s="135"/>
      <c r="CS7" s="135"/>
      <c r="CT7" s="135"/>
    </row>
    <row r="8" spans="1:353" ht="22.8" x14ac:dyDescent="0.3">
      <c r="B8" s="63" t="s">
        <v>9</v>
      </c>
      <c r="C8" s="5" t="s">
        <v>11</v>
      </c>
      <c r="D8" s="5" t="s">
        <v>12</v>
      </c>
      <c r="E8" s="38" t="s">
        <v>14</v>
      </c>
      <c r="F8" s="39" t="s">
        <v>14</v>
      </c>
      <c r="G8" s="5" t="s">
        <v>17</v>
      </c>
      <c r="H8" s="65" t="s">
        <v>19</v>
      </c>
      <c r="I8" s="143" t="s">
        <v>31</v>
      </c>
      <c r="J8" s="144"/>
      <c r="K8" s="144"/>
      <c r="L8" s="144"/>
      <c r="M8" s="144"/>
      <c r="N8" s="143" t="s">
        <v>32</v>
      </c>
      <c r="O8" s="144"/>
      <c r="P8" s="144"/>
      <c r="Q8" s="144"/>
      <c r="R8" s="144"/>
      <c r="S8" s="143" t="s">
        <v>33</v>
      </c>
      <c r="T8" s="144"/>
      <c r="U8" s="144"/>
      <c r="V8" s="144"/>
      <c r="W8" s="144"/>
      <c r="X8" s="143" t="s">
        <v>34</v>
      </c>
      <c r="Y8" s="144"/>
      <c r="Z8" s="144"/>
      <c r="AA8" s="144"/>
      <c r="AB8" s="144"/>
      <c r="AC8" s="148" t="s">
        <v>35</v>
      </c>
      <c r="AD8" s="149"/>
      <c r="AE8" s="149"/>
      <c r="AF8" s="149"/>
      <c r="AG8" s="149"/>
      <c r="AH8" s="148" t="s">
        <v>36</v>
      </c>
      <c r="AI8" s="149"/>
      <c r="AJ8" s="149"/>
      <c r="AK8" s="149"/>
      <c r="AL8" s="149"/>
      <c r="AM8" s="148" t="s">
        <v>37</v>
      </c>
      <c r="AN8" s="149"/>
      <c r="AO8" s="149"/>
      <c r="AP8" s="149"/>
      <c r="AQ8" s="149"/>
      <c r="AR8" s="148" t="s">
        <v>38</v>
      </c>
      <c r="AS8" s="149"/>
      <c r="AT8" s="149"/>
      <c r="AU8" s="149"/>
      <c r="AV8" s="149"/>
      <c r="AW8" s="153" t="s">
        <v>39</v>
      </c>
      <c r="AX8" s="154"/>
      <c r="AY8" s="154"/>
      <c r="AZ8" s="154"/>
      <c r="BA8" s="154"/>
      <c r="BB8" s="153" t="s">
        <v>40</v>
      </c>
      <c r="BC8" s="154"/>
      <c r="BD8" s="154"/>
      <c r="BE8" s="154"/>
      <c r="BF8" s="154"/>
      <c r="BG8" s="153" t="s">
        <v>41</v>
      </c>
      <c r="BH8" s="154"/>
      <c r="BI8" s="154"/>
      <c r="BJ8" s="154"/>
      <c r="BK8" s="154"/>
      <c r="BL8" s="153" t="s">
        <v>42</v>
      </c>
      <c r="BM8" s="154"/>
      <c r="BN8" s="154"/>
      <c r="BO8" s="154"/>
      <c r="BP8" s="154"/>
      <c r="BQ8" s="158" t="s">
        <v>48</v>
      </c>
      <c r="BR8" s="159"/>
      <c r="BS8" s="159"/>
      <c r="BT8" s="159"/>
      <c r="BU8" s="159"/>
      <c r="BV8" s="158" t="s">
        <v>49</v>
      </c>
      <c r="BW8" s="159"/>
      <c r="BX8" s="159"/>
      <c r="BY8" s="159"/>
      <c r="BZ8" s="159"/>
      <c r="CA8" s="158" t="s">
        <v>50</v>
      </c>
      <c r="CB8" s="159"/>
      <c r="CC8" s="159"/>
      <c r="CD8" s="159"/>
      <c r="CE8" s="159"/>
      <c r="CF8" s="160" t="s">
        <v>51</v>
      </c>
      <c r="CG8" s="161"/>
      <c r="CH8" s="161"/>
      <c r="CI8" s="161"/>
      <c r="CJ8" s="162"/>
      <c r="CK8" s="131" t="s">
        <v>52</v>
      </c>
      <c r="CL8" s="132"/>
      <c r="CM8" s="132"/>
      <c r="CN8" s="132"/>
      <c r="CO8" s="133"/>
      <c r="CP8" s="131" t="s">
        <v>180</v>
      </c>
      <c r="CQ8" s="132"/>
      <c r="CR8" s="132"/>
      <c r="CS8" s="132"/>
      <c r="CT8" s="133"/>
    </row>
    <row r="9" spans="1:353" ht="19.95" customHeight="1" thickBot="1" x14ac:dyDescent="0.35">
      <c r="B9" s="64" t="s">
        <v>10</v>
      </c>
      <c r="C9" s="6" t="s">
        <v>10</v>
      </c>
      <c r="D9" s="6" t="s">
        <v>13</v>
      </c>
      <c r="E9" s="40" t="s">
        <v>15</v>
      </c>
      <c r="F9" s="41" t="s">
        <v>16</v>
      </c>
      <c r="G9" s="6" t="s">
        <v>18</v>
      </c>
      <c r="H9" s="26" t="s">
        <v>20</v>
      </c>
      <c r="I9" s="7" t="s">
        <v>43</v>
      </c>
      <c r="J9" s="8" t="s">
        <v>46</v>
      </c>
      <c r="K9" s="8" t="s">
        <v>47</v>
      </c>
      <c r="L9" s="8" t="s">
        <v>44</v>
      </c>
      <c r="M9" s="8" t="s">
        <v>45</v>
      </c>
      <c r="N9" s="7" t="s">
        <v>43</v>
      </c>
      <c r="O9" s="8" t="s">
        <v>46</v>
      </c>
      <c r="P9" s="8" t="s">
        <v>47</v>
      </c>
      <c r="Q9" s="8" t="s">
        <v>44</v>
      </c>
      <c r="R9" s="8" t="s">
        <v>45</v>
      </c>
      <c r="S9" s="7" t="s">
        <v>43</v>
      </c>
      <c r="T9" s="8" t="s">
        <v>46</v>
      </c>
      <c r="U9" s="8" t="s">
        <v>47</v>
      </c>
      <c r="V9" s="8" t="s">
        <v>44</v>
      </c>
      <c r="W9" s="8" t="s">
        <v>45</v>
      </c>
      <c r="X9" s="7" t="s">
        <v>43</v>
      </c>
      <c r="Y9" s="8" t="s">
        <v>46</v>
      </c>
      <c r="Z9" s="8" t="s">
        <v>47</v>
      </c>
      <c r="AA9" s="8" t="s">
        <v>44</v>
      </c>
      <c r="AB9" s="8" t="s">
        <v>45</v>
      </c>
      <c r="AC9" s="9" t="s">
        <v>43</v>
      </c>
      <c r="AD9" s="10" t="s">
        <v>46</v>
      </c>
      <c r="AE9" s="10" t="s">
        <v>47</v>
      </c>
      <c r="AF9" s="10" t="s">
        <v>44</v>
      </c>
      <c r="AG9" s="10" t="s">
        <v>45</v>
      </c>
      <c r="AH9" s="9" t="s">
        <v>43</v>
      </c>
      <c r="AI9" s="10" t="s">
        <v>46</v>
      </c>
      <c r="AJ9" s="10" t="s">
        <v>47</v>
      </c>
      <c r="AK9" s="10" t="s">
        <v>44</v>
      </c>
      <c r="AL9" s="10" t="s">
        <v>45</v>
      </c>
      <c r="AM9" s="9" t="s">
        <v>43</v>
      </c>
      <c r="AN9" s="10" t="s">
        <v>46</v>
      </c>
      <c r="AO9" s="10" t="s">
        <v>47</v>
      </c>
      <c r="AP9" s="10" t="s">
        <v>44</v>
      </c>
      <c r="AQ9" s="10" t="s">
        <v>45</v>
      </c>
      <c r="AR9" s="9" t="s">
        <v>43</v>
      </c>
      <c r="AS9" s="10" t="s">
        <v>46</v>
      </c>
      <c r="AT9" s="10" t="s">
        <v>47</v>
      </c>
      <c r="AU9" s="10" t="s">
        <v>44</v>
      </c>
      <c r="AV9" s="10" t="s">
        <v>45</v>
      </c>
      <c r="AW9" s="18" t="s">
        <v>43</v>
      </c>
      <c r="AX9" s="19" t="s">
        <v>46</v>
      </c>
      <c r="AY9" s="19" t="s">
        <v>47</v>
      </c>
      <c r="AZ9" s="19" t="s">
        <v>44</v>
      </c>
      <c r="BA9" s="19" t="s">
        <v>45</v>
      </c>
      <c r="BB9" s="18" t="s">
        <v>43</v>
      </c>
      <c r="BC9" s="19" t="s">
        <v>46</v>
      </c>
      <c r="BD9" s="19" t="s">
        <v>47</v>
      </c>
      <c r="BE9" s="19" t="s">
        <v>44</v>
      </c>
      <c r="BF9" s="19" t="s">
        <v>45</v>
      </c>
      <c r="BG9" s="18" t="s">
        <v>43</v>
      </c>
      <c r="BH9" s="19" t="s">
        <v>46</v>
      </c>
      <c r="BI9" s="19" t="s">
        <v>47</v>
      </c>
      <c r="BJ9" s="19" t="s">
        <v>44</v>
      </c>
      <c r="BK9" s="19" t="s">
        <v>45</v>
      </c>
      <c r="BL9" s="18" t="s">
        <v>43</v>
      </c>
      <c r="BM9" s="19" t="s">
        <v>46</v>
      </c>
      <c r="BN9" s="19" t="s">
        <v>47</v>
      </c>
      <c r="BO9" s="19" t="s">
        <v>44</v>
      </c>
      <c r="BP9" s="19" t="s">
        <v>45</v>
      </c>
      <c r="BQ9" s="11" t="s">
        <v>43</v>
      </c>
      <c r="BR9" s="12" t="s">
        <v>46</v>
      </c>
      <c r="BS9" s="12" t="s">
        <v>47</v>
      </c>
      <c r="BT9" s="12" t="s">
        <v>44</v>
      </c>
      <c r="BU9" s="12" t="s">
        <v>45</v>
      </c>
      <c r="BV9" s="11" t="s">
        <v>43</v>
      </c>
      <c r="BW9" s="12" t="s">
        <v>46</v>
      </c>
      <c r="BX9" s="12" t="s">
        <v>47</v>
      </c>
      <c r="BY9" s="12" t="s">
        <v>44</v>
      </c>
      <c r="BZ9" s="12" t="s">
        <v>45</v>
      </c>
      <c r="CA9" s="11" t="s">
        <v>43</v>
      </c>
      <c r="CB9" s="12" t="s">
        <v>46</v>
      </c>
      <c r="CC9" s="12" t="s">
        <v>47</v>
      </c>
      <c r="CD9" s="12" t="s">
        <v>44</v>
      </c>
      <c r="CE9" s="12" t="s">
        <v>45</v>
      </c>
      <c r="CF9" s="11" t="s">
        <v>43</v>
      </c>
      <c r="CG9" s="12" t="s">
        <v>46</v>
      </c>
      <c r="CH9" s="12" t="s">
        <v>47</v>
      </c>
      <c r="CI9" s="12" t="s">
        <v>44</v>
      </c>
      <c r="CJ9" s="12" t="s">
        <v>45</v>
      </c>
      <c r="CK9" s="42" t="s">
        <v>43</v>
      </c>
      <c r="CL9" s="43" t="s">
        <v>46</v>
      </c>
      <c r="CM9" s="43" t="s">
        <v>47</v>
      </c>
      <c r="CN9" s="43" t="s">
        <v>44</v>
      </c>
      <c r="CO9" s="43" t="s">
        <v>45</v>
      </c>
      <c r="CP9" s="42" t="s">
        <v>43</v>
      </c>
      <c r="CQ9" s="43" t="s">
        <v>46</v>
      </c>
      <c r="CR9" s="43" t="s">
        <v>47</v>
      </c>
      <c r="CS9" s="43" t="s">
        <v>44</v>
      </c>
      <c r="CT9" s="43" t="s">
        <v>45</v>
      </c>
    </row>
    <row r="10" spans="1:353" s="49" customFormat="1" ht="19.95" customHeight="1" thickTop="1" x14ac:dyDescent="0.3">
      <c r="B10" s="50">
        <v>1</v>
      </c>
      <c r="C10" s="94" t="s">
        <v>78</v>
      </c>
      <c r="D10" s="51"/>
      <c r="E10" s="52"/>
      <c r="F10" s="53"/>
      <c r="G10" s="54" t="str">
        <f>IF(F10-E10=0,"",F10-E10)</f>
        <v/>
      </c>
      <c r="H10" s="27"/>
      <c r="I10" s="55">
        <v>10</v>
      </c>
      <c r="J10" s="56">
        <v>11</v>
      </c>
      <c r="K10" s="56">
        <v>12</v>
      </c>
      <c r="L10" s="56">
        <v>13</v>
      </c>
      <c r="M10" s="56">
        <v>14</v>
      </c>
      <c r="N10" s="56">
        <v>17</v>
      </c>
      <c r="O10" s="56">
        <v>18</v>
      </c>
      <c r="P10" s="56">
        <v>19</v>
      </c>
      <c r="Q10" s="56">
        <v>20</v>
      </c>
      <c r="R10" s="56">
        <v>21</v>
      </c>
      <c r="S10" s="56">
        <v>24</v>
      </c>
      <c r="T10" s="56">
        <v>25</v>
      </c>
      <c r="U10" s="56">
        <v>26</v>
      </c>
      <c r="V10" s="56">
        <v>27</v>
      </c>
      <c r="W10" s="56">
        <v>28</v>
      </c>
      <c r="X10" s="56">
        <v>31</v>
      </c>
      <c r="Y10" s="56">
        <v>1</v>
      </c>
      <c r="Z10" s="56">
        <v>2</v>
      </c>
      <c r="AA10" s="56">
        <v>3</v>
      </c>
      <c r="AB10" s="56">
        <v>4</v>
      </c>
      <c r="AC10" s="57">
        <v>7</v>
      </c>
      <c r="AD10" s="56">
        <v>8</v>
      </c>
      <c r="AE10" s="56">
        <v>9</v>
      </c>
      <c r="AF10" s="56">
        <v>10</v>
      </c>
      <c r="AG10" s="56">
        <v>11</v>
      </c>
      <c r="AH10" s="56">
        <v>14</v>
      </c>
      <c r="AI10" s="56">
        <v>15</v>
      </c>
      <c r="AJ10" s="56">
        <v>16</v>
      </c>
      <c r="AK10" s="56">
        <v>17</v>
      </c>
      <c r="AL10" s="56">
        <v>18</v>
      </c>
      <c r="AM10" s="56">
        <v>21</v>
      </c>
      <c r="AN10" s="56">
        <v>22</v>
      </c>
      <c r="AO10" s="56">
        <v>23</v>
      </c>
      <c r="AP10" s="56">
        <v>24</v>
      </c>
      <c r="AQ10" s="56">
        <v>25</v>
      </c>
      <c r="AR10" s="56">
        <v>28</v>
      </c>
      <c r="AS10" s="56">
        <v>29</v>
      </c>
      <c r="AT10" s="56">
        <v>30</v>
      </c>
      <c r="AU10" s="56">
        <v>1</v>
      </c>
      <c r="AV10" s="56">
        <v>2</v>
      </c>
      <c r="AW10" s="57">
        <v>5</v>
      </c>
      <c r="AX10" s="56">
        <v>6</v>
      </c>
      <c r="AY10" s="56">
        <v>7</v>
      </c>
      <c r="AZ10" s="56">
        <v>8</v>
      </c>
      <c r="BA10" s="56">
        <v>9</v>
      </c>
      <c r="BB10" s="56">
        <v>12</v>
      </c>
      <c r="BC10" s="56">
        <v>13</v>
      </c>
      <c r="BD10" s="56">
        <v>14</v>
      </c>
      <c r="BE10" s="56">
        <v>15</v>
      </c>
      <c r="BF10" s="56">
        <v>16</v>
      </c>
      <c r="BG10" s="56">
        <v>19</v>
      </c>
      <c r="BH10" s="56">
        <v>20</v>
      </c>
      <c r="BI10" s="56">
        <v>21</v>
      </c>
      <c r="BJ10" s="56">
        <v>22</v>
      </c>
      <c r="BK10" s="56">
        <v>23</v>
      </c>
      <c r="BL10" s="56">
        <v>26</v>
      </c>
      <c r="BM10" s="56">
        <v>27</v>
      </c>
      <c r="BN10" s="56">
        <v>28</v>
      </c>
      <c r="BO10" s="56">
        <v>29</v>
      </c>
      <c r="BP10" s="56">
        <v>30</v>
      </c>
      <c r="BQ10" s="57">
        <v>2</v>
      </c>
      <c r="BR10" s="56">
        <v>3</v>
      </c>
      <c r="BS10" s="56">
        <v>4</v>
      </c>
      <c r="BT10" s="56">
        <v>5</v>
      </c>
      <c r="BU10" s="56">
        <v>6</v>
      </c>
      <c r="BV10" s="56">
        <v>9</v>
      </c>
      <c r="BW10" s="56">
        <v>10</v>
      </c>
      <c r="BX10" s="56">
        <v>11</v>
      </c>
      <c r="BY10" s="56">
        <v>12</v>
      </c>
      <c r="BZ10" s="56">
        <v>13</v>
      </c>
      <c r="CA10" s="56">
        <v>16</v>
      </c>
      <c r="CB10" s="56">
        <v>17</v>
      </c>
      <c r="CC10" s="56">
        <v>18</v>
      </c>
      <c r="CD10" s="56">
        <v>19</v>
      </c>
      <c r="CE10" s="56">
        <v>20</v>
      </c>
      <c r="CF10" s="56">
        <v>23</v>
      </c>
      <c r="CG10" s="56">
        <v>24</v>
      </c>
      <c r="CH10" s="56">
        <v>25</v>
      </c>
      <c r="CI10" s="56">
        <v>26</v>
      </c>
      <c r="CJ10" s="56">
        <v>27</v>
      </c>
      <c r="CK10" s="57">
        <v>30</v>
      </c>
      <c r="CL10" s="56">
        <v>1</v>
      </c>
      <c r="CM10" s="56">
        <v>2</v>
      </c>
      <c r="CN10" s="56">
        <v>3</v>
      </c>
      <c r="CO10" s="56">
        <v>4</v>
      </c>
      <c r="CP10" s="57">
        <v>7</v>
      </c>
      <c r="CQ10" s="56">
        <v>8</v>
      </c>
      <c r="CR10" s="56">
        <v>9</v>
      </c>
      <c r="CS10" s="56">
        <v>10</v>
      </c>
      <c r="CT10" s="56">
        <v>11</v>
      </c>
    </row>
    <row r="11" spans="1:353" s="67" customFormat="1" ht="19.95" customHeight="1" x14ac:dyDescent="0.25">
      <c r="A11" s="66"/>
      <c r="B11" s="98" t="s">
        <v>21</v>
      </c>
      <c r="C11" s="99" t="s">
        <v>72</v>
      </c>
      <c r="D11" s="100"/>
      <c r="E11" s="101"/>
      <c r="F11" s="102"/>
      <c r="G11" s="103" t="str">
        <f>IF(F11-E11=0,"",F11-E11)</f>
        <v/>
      </c>
      <c r="H11" s="104"/>
      <c r="I11" s="105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106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106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106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106"/>
      <c r="CL11" s="79"/>
      <c r="CM11" s="79"/>
      <c r="CN11" s="79"/>
      <c r="CO11" s="79"/>
      <c r="CP11" s="106"/>
      <c r="CQ11" s="79"/>
      <c r="CR11" s="79"/>
      <c r="CS11" s="79"/>
      <c r="CT11" s="79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6"/>
      <c r="HK11" s="66"/>
      <c r="HL11" s="66"/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  <c r="IR11" s="66"/>
      <c r="IS11" s="66"/>
      <c r="IT11" s="66"/>
      <c r="IU11" s="66"/>
      <c r="IV11" s="66"/>
      <c r="IW11" s="66"/>
      <c r="IX11" s="66"/>
      <c r="IY11" s="66"/>
      <c r="IZ11" s="66"/>
      <c r="JA11" s="66"/>
      <c r="JB11" s="66"/>
      <c r="JC11" s="66"/>
      <c r="JD11" s="66"/>
      <c r="JE11" s="66"/>
      <c r="JF11" s="66"/>
      <c r="JG11" s="66"/>
      <c r="JH11" s="66"/>
      <c r="JI11" s="66"/>
      <c r="JJ11" s="66"/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  <c r="KZ11" s="66"/>
      <c r="LA11" s="66"/>
      <c r="LB11" s="66"/>
      <c r="LC11" s="66"/>
      <c r="LD11" s="66"/>
      <c r="LE11" s="66"/>
      <c r="LF11" s="66"/>
      <c r="LG11" s="66"/>
      <c r="LH11" s="66"/>
      <c r="LI11" s="66"/>
      <c r="LJ11" s="66"/>
      <c r="LK11" s="66"/>
      <c r="LL11" s="66"/>
      <c r="LM11" s="66"/>
      <c r="LN11" s="66"/>
      <c r="LO11" s="66"/>
      <c r="LP11" s="66"/>
      <c r="LQ11" s="66"/>
      <c r="LR11" s="66"/>
      <c r="LS11" s="66"/>
      <c r="LT11" s="66"/>
      <c r="LU11" s="66"/>
      <c r="LV11" s="66"/>
      <c r="LW11" s="66"/>
      <c r="LX11" s="66"/>
      <c r="LY11" s="66"/>
      <c r="LZ11" s="66"/>
      <c r="MA11" s="66"/>
      <c r="MB11" s="66"/>
      <c r="MC11" s="66"/>
      <c r="MD11" s="66"/>
      <c r="ME11" s="66"/>
      <c r="MF11" s="66"/>
      <c r="MG11" s="66"/>
      <c r="MH11" s="66"/>
      <c r="MI11" s="66"/>
      <c r="MJ11" s="66"/>
      <c r="MK11" s="66"/>
      <c r="ML11" s="66"/>
      <c r="MM11" s="66"/>
      <c r="MN11" s="66"/>
      <c r="MO11" s="66"/>
    </row>
    <row r="12" spans="1:353" s="66" customFormat="1" ht="19.95" customHeight="1" x14ac:dyDescent="0.25">
      <c r="B12" s="68" t="s">
        <v>64</v>
      </c>
      <c r="C12" s="69" t="s">
        <v>73</v>
      </c>
      <c r="D12" s="70" t="s">
        <v>60</v>
      </c>
      <c r="E12" s="71">
        <v>46244</v>
      </c>
      <c r="F12" s="72">
        <v>46248</v>
      </c>
      <c r="G12" s="73">
        <f>IF(OR(E12="",F12=""),"",NETWORKDAYS(E12,F12))</f>
        <v>5</v>
      </c>
      <c r="H12" s="74">
        <v>1</v>
      </c>
      <c r="I12" s="120"/>
      <c r="J12" s="120"/>
      <c r="K12" s="120"/>
      <c r="L12" s="120"/>
      <c r="M12" s="120"/>
      <c r="N12" s="77"/>
      <c r="O12" s="77"/>
      <c r="P12" s="77"/>
      <c r="Q12" s="77"/>
      <c r="R12" s="77"/>
      <c r="S12" s="76"/>
      <c r="T12" s="76"/>
      <c r="U12" s="76"/>
      <c r="V12" s="76"/>
      <c r="W12" s="76"/>
      <c r="X12" s="77"/>
      <c r="Y12" s="77"/>
      <c r="Z12" s="77"/>
      <c r="AA12" s="77"/>
      <c r="AB12" s="77"/>
      <c r="AC12" s="78"/>
      <c r="AD12" s="76"/>
      <c r="AE12" s="76"/>
      <c r="AF12" s="76"/>
      <c r="AG12" s="76"/>
      <c r="AH12" s="79"/>
      <c r="AI12" s="79"/>
      <c r="AJ12" s="79"/>
      <c r="AK12" s="79"/>
      <c r="AL12" s="79"/>
      <c r="AM12" s="76"/>
      <c r="AN12" s="76"/>
      <c r="AO12" s="76"/>
      <c r="AP12" s="76"/>
      <c r="AQ12" s="76"/>
      <c r="AR12" s="79"/>
      <c r="AS12" s="79"/>
      <c r="AT12" s="79"/>
      <c r="AU12" s="79"/>
      <c r="AV12" s="79"/>
      <c r="AW12" s="78"/>
      <c r="AX12" s="76"/>
      <c r="AY12" s="76"/>
      <c r="AZ12" s="76"/>
      <c r="BA12" s="76"/>
      <c r="BB12" s="80"/>
      <c r="BC12" s="80"/>
      <c r="BD12" s="80"/>
      <c r="BE12" s="80"/>
      <c r="BF12" s="80"/>
      <c r="BG12" s="76"/>
      <c r="BH12" s="76"/>
      <c r="BI12" s="76"/>
      <c r="BJ12" s="76"/>
      <c r="BK12" s="76"/>
      <c r="BL12" s="80"/>
      <c r="BM12" s="80"/>
      <c r="BN12" s="80"/>
      <c r="BO12" s="80"/>
      <c r="BP12" s="80"/>
      <c r="BQ12" s="78"/>
      <c r="BR12" s="76"/>
      <c r="BS12" s="76"/>
      <c r="BT12" s="76"/>
      <c r="BU12" s="76"/>
      <c r="BV12" s="81"/>
      <c r="BW12" s="81"/>
      <c r="BX12" s="81"/>
      <c r="BY12" s="81"/>
      <c r="BZ12" s="81"/>
      <c r="CA12" s="76"/>
      <c r="CB12" s="76"/>
      <c r="CC12" s="76"/>
      <c r="CD12" s="76"/>
      <c r="CE12" s="76"/>
      <c r="CF12" s="81"/>
      <c r="CG12" s="81"/>
      <c r="CH12" s="81"/>
      <c r="CI12" s="81"/>
      <c r="CJ12" s="81"/>
      <c r="CK12" s="78"/>
      <c r="CL12" s="76"/>
      <c r="CM12" s="76"/>
      <c r="CN12" s="76"/>
      <c r="CO12" s="76"/>
      <c r="CP12" s="124"/>
      <c r="CQ12" s="125"/>
      <c r="CR12" s="125"/>
      <c r="CS12" s="125"/>
      <c r="CT12" s="125"/>
    </row>
    <row r="13" spans="1:353" s="66" customFormat="1" ht="19.95" customHeight="1" x14ac:dyDescent="0.25">
      <c r="B13" s="68" t="s">
        <v>65</v>
      </c>
      <c r="C13" s="69" t="s">
        <v>57</v>
      </c>
      <c r="D13" s="70" t="s">
        <v>60</v>
      </c>
      <c r="E13" s="71">
        <v>46251</v>
      </c>
      <c r="F13" s="72">
        <v>46253</v>
      </c>
      <c r="G13" s="73">
        <f t="shared" ref="G13:G14" si="0">IF(OR(E13="",F13=""),"",NETWORKDAYS(E13,F13))</f>
        <v>3</v>
      </c>
      <c r="H13" s="74">
        <v>1</v>
      </c>
      <c r="I13" s="75"/>
      <c r="J13" s="76"/>
      <c r="K13" s="76"/>
      <c r="L13" s="76"/>
      <c r="M13" s="76"/>
      <c r="N13" s="121"/>
      <c r="O13" s="121"/>
      <c r="P13" s="121"/>
      <c r="Q13" s="77"/>
      <c r="R13" s="77"/>
      <c r="S13" s="76"/>
      <c r="T13" s="76"/>
      <c r="U13" s="76"/>
      <c r="V13" s="76"/>
      <c r="W13" s="76"/>
      <c r="X13" s="77"/>
      <c r="Y13" s="77"/>
      <c r="Z13" s="77"/>
      <c r="AA13" s="77"/>
      <c r="AB13" s="77"/>
      <c r="AC13" s="78"/>
      <c r="AD13" s="76"/>
      <c r="AE13" s="76"/>
      <c r="AF13" s="76"/>
      <c r="AG13" s="76"/>
      <c r="AH13" s="79"/>
      <c r="AI13" s="79"/>
      <c r="AJ13" s="79"/>
      <c r="AK13" s="79"/>
      <c r="AL13" s="79"/>
      <c r="AM13" s="76"/>
      <c r="AN13" s="76"/>
      <c r="AO13" s="76"/>
      <c r="AP13" s="76"/>
      <c r="AQ13" s="76"/>
      <c r="AR13" s="79"/>
      <c r="AS13" s="79"/>
      <c r="AT13" s="79"/>
      <c r="AU13" s="79"/>
      <c r="AV13" s="79"/>
      <c r="AW13" s="78"/>
      <c r="AX13" s="76"/>
      <c r="AY13" s="76"/>
      <c r="AZ13" s="76"/>
      <c r="BA13" s="76"/>
      <c r="BB13" s="80"/>
      <c r="BC13" s="80"/>
      <c r="BD13" s="80"/>
      <c r="BE13" s="80"/>
      <c r="BF13" s="80"/>
      <c r="BG13" s="76"/>
      <c r="BH13" s="76"/>
      <c r="BI13" s="76"/>
      <c r="BJ13" s="76"/>
      <c r="BK13" s="76"/>
      <c r="BL13" s="80"/>
      <c r="BM13" s="80"/>
      <c r="BN13" s="80"/>
      <c r="BO13" s="80"/>
      <c r="BP13" s="80"/>
      <c r="BQ13" s="78"/>
      <c r="BR13" s="76"/>
      <c r="BS13" s="76"/>
      <c r="BT13" s="76"/>
      <c r="BU13" s="76"/>
      <c r="BV13" s="81"/>
      <c r="BW13" s="81"/>
      <c r="BX13" s="81"/>
      <c r="BY13" s="81"/>
      <c r="BZ13" s="81"/>
      <c r="CA13" s="76"/>
      <c r="CB13" s="76"/>
      <c r="CC13" s="76"/>
      <c r="CD13" s="76"/>
      <c r="CE13" s="76"/>
      <c r="CF13" s="81"/>
      <c r="CG13" s="81"/>
      <c r="CH13" s="81"/>
      <c r="CI13" s="81"/>
      <c r="CJ13" s="81"/>
      <c r="CK13" s="78"/>
      <c r="CL13" s="76"/>
      <c r="CM13" s="76"/>
      <c r="CN13" s="76"/>
      <c r="CO13" s="76"/>
      <c r="CP13" s="124"/>
      <c r="CQ13" s="125"/>
      <c r="CR13" s="125"/>
      <c r="CS13" s="125"/>
      <c r="CT13" s="125"/>
    </row>
    <row r="14" spans="1:353" s="66" customFormat="1" ht="19.95" customHeight="1" x14ac:dyDescent="0.25">
      <c r="B14" s="68" t="s">
        <v>66</v>
      </c>
      <c r="C14" s="69" t="s">
        <v>58</v>
      </c>
      <c r="D14" s="70" t="s">
        <v>55</v>
      </c>
      <c r="E14" s="71">
        <v>46254</v>
      </c>
      <c r="F14" s="72">
        <v>46255</v>
      </c>
      <c r="G14" s="73">
        <f t="shared" si="0"/>
        <v>2</v>
      </c>
      <c r="H14" s="74">
        <v>1</v>
      </c>
      <c r="I14" s="75"/>
      <c r="J14" s="76"/>
      <c r="K14" s="76"/>
      <c r="L14" s="76"/>
      <c r="M14" s="76"/>
      <c r="N14" s="77"/>
      <c r="O14" s="77"/>
      <c r="P14" s="77"/>
      <c r="Q14" s="121"/>
      <c r="R14" s="121"/>
      <c r="S14" s="76"/>
      <c r="T14" s="76"/>
      <c r="U14" s="76"/>
      <c r="V14" s="76"/>
      <c r="W14" s="76"/>
      <c r="X14" s="77"/>
      <c r="Y14" s="77"/>
      <c r="Z14" s="77"/>
      <c r="AA14" s="77"/>
      <c r="AB14" s="77"/>
      <c r="AC14" s="78"/>
      <c r="AD14" s="76"/>
      <c r="AE14" s="76"/>
      <c r="AF14" s="76"/>
      <c r="AG14" s="76"/>
      <c r="AH14" s="79"/>
      <c r="AI14" s="79"/>
      <c r="AJ14" s="79"/>
      <c r="AK14" s="79"/>
      <c r="AL14" s="79"/>
      <c r="AM14" s="76"/>
      <c r="AN14" s="76"/>
      <c r="AO14" s="76"/>
      <c r="AP14" s="76"/>
      <c r="AQ14" s="76"/>
      <c r="AR14" s="79"/>
      <c r="AS14" s="79"/>
      <c r="AT14" s="79"/>
      <c r="AU14" s="79"/>
      <c r="AV14" s="79"/>
      <c r="AW14" s="78"/>
      <c r="AX14" s="76"/>
      <c r="AY14" s="76"/>
      <c r="AZ14" s="76"/>
      <c r="BA14" s="76"/>
      <c r="BB14" s="80"/>
      <c r="BC14" s="80"/>
      <c r="BD14" s="80"/>
      <c r="BE14" s="80"/>
      <c r="BF14" s="80"/>
      <c r="BG14" s="76"/>
      <c r="BH14" s="76"/>
      <c r="BI14" s="76"/>
      <c r="BJ14" s="76"/>
      <c r="BK14" s="76"/>
      <c r="BL14" s="80"/>
      <c r="BM14" s="80"/>
      <c r="BN14" s="80"/>
      <c r="BO14" s="80"/>
      <c r="BP14" s="80"/>
      <c r="BQ14" s="78"/>
      <c r="BR14" s="76"/>
      <c r="BS14" s="76"/>
      <c r="BT14" s="76"/>
      <c r="BU14" s="76"/>
      <c r="BV14" s="81"/>
      <c r="BW14" s="81"/>
      <c r="BX14" s="81"/>
      <c r="BY14" s="81"/>
      <c r="BZ14" s="81"/>
      <c r="CA14" s="76"/>
      <c r="CB14" s="76"/>
      <c r="CC14" s="76"/>
      <c r="CD14" s="76"/>
      <c r="CE14" s="76"/>
      <c r="CF14" s="81"/>
      <c r="CG14" s="81"/>
      <c r="CH14" s="81"/>
      <c r="CI14" s="81"/>
      <c r="CJ14" s="81"/>
      <c r="CK14" s="78"/>
      <c r="CL14" s="76"/>
      <c r="CM14" s="76"/>
      <c r="CN14" s="76"/>
      <c r="CO14" s="76"/>
      <c r="CP14" s="124"/>
      <c r="CQ14" s="125"/>
      <c r="CR14" s="125"/>
      <c r="CS14" s="125"/>
      <c r="CT14" s="125"/>
    </row>
    <row r="15" spans="1:353" s="67" customFormat="1" ht="19.95" customHeight="1" x14ac:dyDescent="0.25">
      <c r="A15" s="66"/>
      <c r="B15" s="98" t="s">
        <v>22</v>
      </c>
      <c r="C15" s="99" t="s">
        <v>74</v>
      </c>
      <c r="D15" s="100"/>
      <c r="E15" s="101"/>
      <c r="F15" s="102"/>
      <c r="G15" s="102" t="str">
        <f t="shared" ref="G15:G19" si="1">IF(OR(E15="",F15=""),"",F15-E15+1)</f>
        <v/>
      </c>
      <c r="H15" s="104"/>
      <c r="I15" s="105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106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106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106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106"/>
      <c r="CL15" s="79"/>
      <c r="CM15" s="79"/>
      <c r="CN15" s="79"/>
      <c r="CO15" s="79"/>
      <c r="CP15" s="106"/>
      <c r="CQ15" s="79"/>
      <c r="CR15" s="79"/>
      <c r="CS15" s="79"/>
      <c r="CT15" s="79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</row>
    <row r="16" spans="1:353" s="66" customFormat="1" ht="19.95" customHeight="1" x14ac:dyDescent="0.25">
      <c r="B16" s="68" t="s">
        <v>67</v>
      </c>
      <c r="C16" s="69" t="s">
        <v>75</v>
      </c>
      <c r="D16" s="70" t="s">
        <v>55</v>
      </c>
      <c r="E16" s="71">
        <v>46258</v>
      </c>
      <c r="F16" s="72">
        <v>46260</v>
      </c>
      <c r="G16" s="73">
        <f t="shared" ref="G16:G18" si="2">IF(OR(E16="",F16=""),"",NETWORKDAYS(E16,F16))</f>
        <v>3</v>
      </c>
      <c r="H16" s="74">
        <v>1</v>
      </c>
      <c r="I16" s="75"/>
      <c r="J16" s="76"/>
      <c r="K16" s="76"/>
      <c r="L16" s="76"/>
      <c r="M16" s="76"/>
      <c r="N16" s="77"/>
      <c r="O16" s="77"/>
      <c r="P16" s="77"/>
      <c r="Q16" s="77"/>
      <c r="R16" s="77"/>
      <c r="S16" s="121"/>
      <c r="T16" s="121"/>
      <c r="U16" s="121"/>
      <c r="V16" s="76"/>
      <c r="W16" s="76"/>
      <c r="X16" s="77"/>
      <c r="Y16" s="77"/>
      <c r="Z16" s="77"/>
      <c r="AA16" s="77"/>
      <c r="AB16" s="77"/>
      <c r="AC16" s="78"/>
      <c r="AD16" s="76"/>
      <c r="AE16" s="76"/>
      <c r="AF16" s="76"/>
      <c r="AG16" s="76"/>
      <c r="AH16" s="79"/>
      <c r="AI16" s="79"/>
      <c r="AJ16" s="79"/>
      <c r="AK16" s="79"/>
      <c r="AL16" s="79"/>
      <c r="AM16" s="76"/>
      <c r="AN16" s="76"/>
      <c r="AO16" s="76"/>
      <c r="AP16" s="76"/>
      <c r="AQ16" s="76"/>
      <c r="AR16" s="79"/>
      <c r="AS16" s="79"/>
      <c r="AT16" s="79"/>
      <c r="AU16" s="79"/>
      <c r="AV16" s="79"/>
      <c r="AW16" s="78"/>
      <c r="AX16" s="76"/>
      <c r="AY16" s="76"/>
      <c r="AZ16" s="76"/>
      <c r="BA16" s="76"/>
      <c r="BB16" s="80"/>
      <c r="BC16" s="80"/>
      <c r="BD16" s="80"/>
      <c r="BE16" s="80"/>
      <c r="BF16" s="80"/>
      <c r="BG16" s="76"/>
      <c r="BH16" s="76"/>
      <c r="BI16" s="76"/>
      <c r="BJ16" s="76"/>
      <c r="BK16" s="76"/>
      <c r="BL16" s="80"/>
      <c r="BM16" s="80"/>
      <c r="BN16" s="80"/>
      <c r="BO16" s="80"/>
      <c r="BP16" s="80"/>
      <c r="BQ16" s="78"/>
      <c r="BR16" s="76"/>
      <c r="BS16" s="76"/>
      <c r="BT16" s="76"/>
      <c r="BU16" s="76"/>
      <c r="BV16" s="81"/>
      <c r="BW16" s="81"/>
      <c r="BX16" s="81"/>
      <c r="BY16" s="81"/>
      <c r="BZ16" s="81"/>
      <c r="CA16" s="76"/>
      <c r="CB16" s="76"/>
      <c r="CC16" s="76"/>
      <c r="CD16" s="76"/>
      <c r="CE16" s="76"/>
      <c r="CF16" s="81"/>
      <c r="CG16" s="81"/>
      <c r="CH16" s="81"/>
      <c r="CI16" s="81"/>
      <c r="CJ16" s="81"/>
      <c r="CK16" s="78"/>
      <c r="CL16" s="76"/>
      <c r="CM16" s="76"/>
      <c r="CN16" s="76"/>
      <c r="CO16" s="76"/>
      <c r="CP16" s="124"/>
      <c r="CQ16" s="125"/>
      <c r="CR16" s="125"/>
      <c r="CS16" s="125"/>
      <c r="CT16" s="125"/>
    </row>
    <row r="17" spans="1:353" s="66" customFormat="1" ht="19.95" customHeight="1" x14ac:dyDescent="0.25">
      <c r="B17" s="68" t="s">
        <v>68</v>
      </c>
      <c r="C17" s="69" t="s">
        <v>62</v>
      </c>
      <c r="D17" s="70" t="s">
        <v>60</v>
      </c>
      <c r="E17" s="71">
        <v>46261</v>
      </c>
      <c r="F17" s="72">
        <v>46262</v>
      </c>
      <c r="G17" s="73">
        <f t="shared" si="2"/>
        <v>2</v>
      </c>
      <c r="H17" s="74">
        <v>1</v>
      </c>
      <c r="I17" s="75"/>
      <c r="J17" s="76"/>
      <c r="K17" s="76"/>
      <c r="L17" s="76"/>
      <c r="M17" s="76"/>
      <c r="N17" s="77"/>
      <c r="O17" s="77"/>
      <c r="P17" s="77"/>
      <c r="Q17" s="77"/>
      <c r="R17" s="77"/>
      <c r="S17" s="76"/>
      <c r="T17" s="76"/>
      <c r="U17" s="76"/>
      <c r="V17" s="121"/>
      <c r="W17" s="121"/>
      <c r="X17" s="77"/>
      <c r="Y17" s="77"/>
      <c r="Z17" s="77"/>
      <c r="AA17" s="77"/>
      <c r="AB17" s="77"/>
      <c r="AC17" s="78"/>
      <c r="AD17" s="76"/>
      <c r="AE17" s="76"/>
      <c r="AF17" s="76"/>
      <c r="AG17" s="76"/>
      <c r="AH17" s="79"/>
      <c r="AI17" s="79"/>
      <c r="AJ17" s="79"/>
      <c r="AK17" s="79"/>
      <c r="AL17" s="79"/>
      <c r="AM17" s="76"/>
      <c r="AN17" s="76"/>
      <c r="AO17" s="76"/>
      <c r="AP17" s="76"/>
      <c r="AQ17" s="76"/>
      <c r="AR17" s="79"/>
      <c r="AS17" s="79"/>
      <c r="AT17" s="79"/>
      <c r="AU17" s="79"/>
      <c r="AV17" s="79"/>
      <c r="AW17" s="78"/>
      <c r="AX17" s="76"/>
      <c r="AY17" s="76"/>
      <c r="AZ17" s="76"/>
      <c r="BA17" s="76"/>
      <c r="BB17" s="80"/>
      <c r="BC17" s="80"/>
      <c r="BD17" s="80"/>
      <c r="BE17" s="80"/>
      <c r="BF17" s="80"/>
      <c r="BG17" s="76"/>
      <c r="BH17" s="76"/>
      <c r="BI17" s="76"/>
      <c r="BJ17" s="76"/>
      <c r="BK17" s="76"/>
      <c r="BL17" s="80"/>
      <c r="BM17" s="80"/>
      <c r="BN17" s="80"/>
      <c r="BO17" s="80"/>
      <c r="BP17" s="80"/>
      <c r="BQ17" s="78"/>
      <c r="BR17" s="76"/>
      <c r="BS17" s="76"/>
      <c r="BT17" s="76"/>
      <c r="BU17" s="76"/>
      <c r="BV17" s="81"/>
      <c r="BW17" s="81"/>
      <c r="BX17" s="81"/>
      <c r="BY17" s="81"/>
      <c r="BZ17" s="81"/>
      <c r="CA17" s="76"/>
      <c r="CB17" s="76"/>
      <c r="CC17" s="76"/>
      <c r="CD17" s="76"/>
      <c r="CE17" s="76"/>
      <c r="CF17" s="81"/>
      <c r="CG17" s="81"/>
      <c r="CH17" s="81"/>
      <c r="CI17" s="81"/>
      <c r="CJ17" s="81"/>
      <c r="CK17" s="78"/>
      <c r="CL17" s="76"/>
      <c r="CM17" s="76"/>
      <c r="CN17" s="76"/>
      <c r="CO17" s="76"/>
      <c r="CP17" s="124"/>
      <c r="CQ17" s="125"/>
      <c r="CR17" s="125"/>
      <c r="CS17" s="125"/>
      <c r="CT17" s="125"/>
    </row>
    <row r="18" spans="1:353" s="66" customFormat="1" ht="19.95" customHeight="1" x14ac:dyDescent="0.25">
      <c r="B18" s="68" t="s">
        <v>69</v>
      </c>
      <c r="C18" s="69" t="s">
        <v>63</v>
      </c>
      <c r="D18" s="70" t="s">
        <v>60</v>
      </c>
      <c r="E18" s="71">
        <v>46261</v>
      </c>
      <c r="F18" s="72">
        <v>46262</v>
      </c>
      <c r="G18" s="73">
        <f t="shared" si="2"/>
        <v>2</v>
      </c>
      <c r="H18" s="74">
        <v>1</v>
      </c>
      <c r="I18" s="75"/>
      <c r="J18" s="76"/>
      <c r="K18" s="76"/>
      <c r="L18" s="76"/>
      <c r="M18" s="76"/>
      <c r="N18" s="77"/>
      <c r="O18" s="77"/>
      <c r="P18" s="77"/>
      <c r="Q18" s="77"/>
      <c r="R18" s="77"/>
      <c r="S18" s="76"/>
      <c r="T18" s="76"/>
      <c r="U18" s="76"/>
      <c r="V18" s="121"/>
      <c r="W18" s="121"/>
      <c r="X18" s="77"/>
      <c r="Y18" s="77"/>
      <c r="Z18" s="77"/>
      <c r="AA18" s="77"/>
      <c r="AB18" s="77"/>
      <c r="AC18" s="78"/>
      <c r="AD18" s="76"/>
      <c r="AE18" s="76"/>
      <c r="AF18" s="76"/>
      <c r="AG18" s="76"/>
      <c r="AH18" s="79"/>
      <c r="AI18" s="79"/>
      <c r="AJ18" s="79"/>
      <c r="AK18" s="79"/>
      <c r="AL18" s="79"/>
      <c r="AM18" s="76"/>
      <c r="AN18" s="76"/>
      <c r="AO18" s="76"/>
      <c r="AP18" s="76"/>
      <c r="AQ18" s="76"/>
      <c r="AR18" s="79"/>
      <c r="AS18" s="79"/>
      <c r="AT18" s="79"/>
      <c r="AU18" s="79"/>
      <c r="AV18" s="79"/>
      <c r="AW18" s="78"/>
      <c r="AX18" s="76"/>
      <c r="AY18" s="76"/>
      <c r="AZ18" s="76"/>
      <c r="BA18" s="76"/>
      <c r="BB18" s="80"/>
      <c r="BC18" s="80"/>
      <c r="BD18" s="80"/>
      <c r="BE18" s="80"/>
      <c r="BF18" s="80"/>
      <c r="BG18" s="76"/>
      <c r="BH18" s="76"/>
      <c r="BI18" s="76"/>
      <c r="BJ18" s="76"/>
      <c r="BK18" s="76"/>
      <c r="BL18" s="80"/>
      <c r="BM18" s="80"/>
      <c r="BN18" s="80"/>
      <c r="BO18" s="80"/>
      <c r="BP18" s="80"/>
      <c r="BQ18" s="78"/>
      <c r="BR18" s="76"/>
      <c r="BS18" s="76"/>
      <c r="BT18" s="76"/>
      <c r="BU18" s="76"/>
      <c r="BV18" s="81"/>
      <c r="BW18" s="81"/>
      <c r="BX18" s="81"/>
      <c r="BY18" s="81"/>
      <c r="BZ18" s="81"/>
      <c r="CA18" s="76"/>
      <c r="CB18" s="76"/>
      <c r="CC18" s="76"/>
      <c r="CD18" s="76"/>
      <c r="CE18" s="76"/>
      <c r="CF18" s="81"/>
      <c r="CG18" s="81"/>
      <c r="CH18" s="81"/>
      <c r="CI18" s="81"/>
      <c r="CJ18" s="81"/>
      <c r="CK18" s="78"/>
      <c r="CL18" s="76"/>
      <c r="CM18" s="76"/>
      <c r="CN18" s="76"/>
      <c r="CO18" s="76"/>
      <c r="CP18" s="124"/>
      <c r="CQ18" s="125"/>
      <c r="CR18" s="125"/>
      <c r="CS18" s="125"/>
      <c r="CT18" s="125"/>
    </row>
    <row r="19" spans="1:353" s="67" customFormat="1" ht="19.95" customHeight="1" x14ac:dyDescent="0.25">
      <c r="A19" s="66"/>
      <c r="B19" s="98" t="s">
        <v>23</v>
      </c>
      <c r="C19" s="99" t="s">
        <v>76</v>
      </c>
      <c r="D19" s="100"/>
      <c r="E19" s="101"/>
      <c r="F19" s="102"/>
      <c r="G19" s="102" t="str">
        <f t="shared" si="1"/>
        <v/>
      </c>
      <c r="H19" s="104"/>
      <c r="I19" s="105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106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106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106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106"/>
      <c r="CL19" s="79"/>
      <c r="CM19" s="79"/>
      <c r="CN19" s="79"/>
      <c r="CO19" s="79"/>
      <c r="CP19" s="106"/>
      <c r="CQ19" s="79"/>
      <c r="CR19" s="79"/>
      <c r="CS19" s="79"/>
      <c r="CT19" s="79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  <c r="HF19" s="66"/>
      <c r="HG19" s="66"/>
      <c r="HH19" s="66"/>
      <c r="HI19" s="66"/>
      <c r="HJ19" s="66"/>
      <c r="HK19" s="66"/>
      <c r="HL19" s="66"/>
      <c r="HM19" s="66"/>
      <c r="HN19" s="66"/>
      <c r="HO19" s="66"/>
      <c r="HP19" s="66"/>
      <c r="HQ19" s="66"/>
      <c r="HR19" s="66"/>
      <c r="HS19" s="66"/>
      <c r="HT19" s="66"/>
      <c r="HU19" s="66"/>
      <c r="HV19" s="66"/>
      <c r="HW19" s="66"/>
      <c r="HX19" s="66"/>
      <c r="HY19" s="66"/>
      <c r="HZ19" s="66"/>
      <c r="IA19" s="66"/>
      <c r="IB19" s="66"/>
      <c r="IC19" s="66"/>
      <c r="ID19" s="66"/>
      <c r="IE19" s="66"/>
      <c r="IF19" s="66"/>
      <c r="IG19" s="66"/>
      <c r="IH19" s="66"/>
      <c r="II19" s="66"/>
      <c r="IJ19" s="66"/>
      <c r="IK19" s="66"/>
      <c r="IL19" s="66"/>
      <c r="IM19" s="66"/>
      <c r="IN19" s="66"/>
      <c r="IO19" s="66"/>
      <c r="IP19" s="66"/>
      <c r="IQ19" s="66"/>
      <c r="IR19" s="66"/>
      <c r="IS19" s="66"/>
      <c r="IT19" s="66"/>
      <c r="IU19" s="66"/>
      <c r="IV19" s="66"/>
      <c r="IW19" s="66"/>
      <c r="IX19" s="66"/>
      <c r="IY19" s="66"/>
      <c r="IZ19" s="66"/>
      <c r="JA19" s="66"/>
      <c r="JB19" s="66"/>
      <c r="JC19" s="66"/>
      <c r="JD19" s="66"/>
      <c r="JE19" s="66"/>
      <c r="JF19" s="66"/>
      <c r="JG19" s="66"/>
      <c r="JH19" s="66"/>
      <c r="JI19" s="66"/>
      <c r="JJ19" s="66"/>
      <c r="JK19" s="66"/>
      <c r="JL19" s="66"/>
      <c r="JM19" s="66"/>
      <c r="JN19" s="66"/>
      <c r="JO19" s="66"/>
      <c r="JP19" s="66"/>
      <c r="JQ19" s="66"/>
      <c r="JR19" s="66"/>
      <c r="JS19" s="66"/>
      <c r="JT19" s="66"/>
      <c r="JU19" s="66"/>
      <c r="JV19" s="66"/>
      <c r="JW19" s="66"/>
      <c r="JX19" s="66"/>
      <c r="JY19" s="66"/>
      <c r="JZ19" s="66"/>
      <c r="KA19" s="66"/>
      <c r="KB19" s="66"/>
      <c r="KC19" s="66"/>
      <c r="KD19" s="66"/>
      <c r="KE19" s="66"/>
      <c r="KF19" s="66"/>
      <c r="KG19" s="66"/>
      <c r="KH19" s="66"/>
      <c r="KI19" s="66"/>
      <c r="KJ19" s="66"/>
      <c r="KK19" s="66"/>
      <c r="KL19" s="66"/>
      <c r="KM19" s="66"/>
      <c r="KN19" s="66"/>
      <c r="KO19" s="66"/>
      <c r="KP19" s="66"/>
      <c r="KQ19" s="66"/>
      <c r="KR19" s="66"/>
      <c r="KS19" s="66"/>
      <c r="KT19" s="66"/>
      <c r="KU19" s="66"/>
      <c r="KV19" s="66"/>
      <c r="KW19" s="66"/>
      <c r="KX19" s="66"/>
      <c r="KY19" s="66"/>
      <c r="KZ19" s="66"/>
      <c r="LA19" s="66"/>
      <c r="LB19" s="66"/>
      <c r="LC19" s="66"/>
      <c r="LD19" s="66"/>
      <c r="LE19" s="66"/>
      <c r="LF19" s="66"/>
      <c r="LG19" s="66"/>
      <c r="LH19" s="66"/>
      <c r="LI19" s="66"/>
      <c r="LJ19" s="66"/>
      <c r="LK19" s="66"/>
      <c r="LL19" s="66"/>
      <c r="LM19" s="66"/>
      <c r="LN19" s="66"/>
      <c r="LO19" s="66"/>
      <c r="LP19" s="66"/>
      <c r="LQ19" s="66"/>
      <c r="LR19" s="66"/>
      <c r="LS19" s="66"/>
      <c r="LT19" s="66"/>
      <c r="LU19" s="66"/>
      <c r="LV19" s="66"/>
      <c r="LW19" s="66"/>
      <c r="LX19" s="66"/>
      <c r="LY19" s="66"/>
      <c r="LZ19" s="66"/>
      <c r="MA19" s="66"/>
      <c r="MB19" s="66"/>
      <c r="MC19" s="66"/>
      <c r="MD19" s="66"/>
      <c r="ME19" s="66"/>
      <c r="MF19" s="66"/>
      <c r="MG19" s="66"/>
      <c r="MH19" s="66"/>
      <c r="MI19" s="66"/>
      <c r="MJ19" s="66"/>
      <c r="MK19" s="66"/>
      <c r="ML19" s="66"/>
      <c r="MM19" s="66"/>
      <c r="MN19" s="66"/>
      <c r="MO19" s="66"/>
    </row>
    <row r="20" spans="1:353" s="66" customFormat="1" ht="19.95" customHeight="1" x14ac:dyDescent="0.25">
      <c r="B20" s="68" t="s">
        <v>70</v>
      </c>
      <c r="C20" s="69" t="s">
        <v>59</v>
      </c>
      <c r="D20" s="70" t="s">
        <v>55</v>
      </c>
      <c r="E20" s="71">
        <v>46261</v>
      </c>
      <c r="F20" s="72">
        <v>46262</v>
      </c>
      <c r="G20" s="73">
        <f t="shared" ref="G20:G21" si="3">IF(OR(E20="",F20=""),"",NETWORKDAYS(E20,F20))</f>
        <v>2</v>
      </c>
      <c r="H20" s="74">
        <v>1</v>
      </c>
      <c r="I20" s="75"/>
      <c r="J20" s="76"/>
      <c r="K20" s="76"/>
      <c r="L20" s="76"/>
      <c r="M20" s="76"/>
      <c r="N20" s="77"/>
      <c r="O20" s="77"/>
      <c r="P20" s="77"/>
      <c r="Q20" s="77"/>
      <c r="R20" s="77"/>
      <c r="S20" s="76"/>
      <c r="T20" s="76"/>
      <c r="U20" s="76"/>
      <c r="V20" s="121"/>
      <c r="W20" s="121"/>
      <c r="X20" s="77"/>
      <c r="Y20" s="77"/>
      <c r="Z20" s="77"/>
      <c r="AA20" s="77"/>
      <c r="AB20" s="77"/>
      <c r="AC20" s="78"/>
      <c r="AD20" s="76"/>
      <c r="AE20" s="76"/>
      <c r="AF20" s="76"/>
      <c r="AG20" s="76"/>
      <c r="AH20" s="79"/>
      <c r="AI20" s="79"/>
      <c r="AJ20" s="79"/>
      <c r="AK20" s="79"/>
      <c r="AL20" s="79"/>
      <c r="AM20" s="76"/>
      <c r="AN20" s="76"/>
      <c r="AO20" s="76"/>
      <c r="AP20" s="76"/>
      <c r="AQ20" s="76"/>
      <c r="AR20" s="79"/>
      <c r="AS20" s="79"/>
      <c r="AT20" s="79"/>
      <c r="AU20" s="79"/>
      <c r="AV20" s="79"/>
      <c r="AW20" s="78"/>
      <c r="AX20" s="76"/>
      <c r="AY20" s="76"/>
      <c r="AZ20" s="76"/>
      <c r="BA20" s="76"/>
      <c r="BB20" s="80"/>
      <c r="BC20" s="80"/>
      <c r="BD20" s="80"/>
      <c r="BE20" s="80"/>
      <c r="BF20" s="80"/>
      <c r="BG20" s="76"/>
      <c r="BH20" s="76"/>
      <c r="BI20" s="76"/>
      <c r="BJ20" s="76"/>
      <c r="BK20" s="76"/>
      <c r="BL20" s="80"/>
      <c r="BM20" s="80"/>
      <c r="BN20" s="80"/>
      <c r="BO20" s="80"/>
      <c r="BP20" s="80"/>
      <c r="BQ20" s="78"/>
      <c r="BR20" s="76"/>
      <c r="BS20" s="76"/>
      <c r="BT20" s="76"/>
      <c r="BU20" s="76"/>
      <c r="BV20" s="81"/>
      <c r="BW20" s="81"/>
      <c r="BX20" s="81"/>
      <c r="BY20" s="81"/>
      <c r="BZ20" s="81"/>
      <c r="CA20" s="76"/>
      <c r="CB20" s="76"/>
      <c r="CC20" s="76"/>
      <c r="CD20" s="76"/>
      <c r="CE20" s="76"/>
      <c r="CF20" s="81"/>
      <c r="CG20" s="81"/>
      <c r="CH20" s="81"/>
      <c r="CI20" s="81"/>
      <c r="CJ20" s="81"/>
      <c r="CK20" s="78"/>
      <c r="CL20" s="76"/>
      <c r="CM20" s="76"/>
      <c r="CN20" s="76"/>
      <c r="CO20" s="76"/>
      <c r="CP20" s="124"/>
      <c r="CQ20" s="125"/>
      <c r="CR20" s="125"/>
      <c r="CS20" s="125"/>
      <c r="CT20" s="125"/>
    </row>
    <row r="21" spans="1:353" s="66" customFormat="1" ht="19.95" customHeight="1" x14ac:dyDescent="0.25">
      <c r="B21" s="68" t="s">
        <v>71</v>
      </c>
      <c r="C21" s="69" t="s">
        <v>77</v>
      </c>
      <c r="D21" s="70" t="s">
        <v>55</v>
      </c>
      <c r="E21" s="71">
        <v>46265</v>
      </c>
      <c r="F21" s="72">
        <v>46265</v>
      </c>
      <c r="G21" s="73">
        <f t="shared" si="3"/>
        <v>1</v>
      </c>
      <c r="H21" s="74">
        <v>1</v>
      </c>
      <c r="I21" s="75"/>
      <c r="J21" s="76"/>
      <c r="K21" s="76"/>
      <c r="L21" s="76"/>
      <c r="M21" s="76"/>
      <c r="N21" s="77"/>
      <c r="O21" s="77"/>
      <c r="P21" s="77"/>
      <c r="Q21" s="77"/>
      <c r="R21" s="77"/>
      <c r="S21" s="76"/>
      <c r="T21" s="76"/>
      <c r="U21" s="76"/>
      <c r="V21" s="76"/>
      <c r="W21" s="76"/>
      <c r="X21" s="121"/>
      <c r="Y21" s="77"/>
      <c r="Z21" s="77"/>
      <c r="AA21" s="77"/>
      <c r="AB21" s="77"/>
      <c r="AC21" s="78"/>
      <c r="AD21" s="76"/>
      <c r="AE21" s="76"/>
      <c r="AF21" s="76"/>
      <c r="AG21" s="76"/>
      <c r="AH21" s="79"/>
      <c r="AI21" s="79"/>
      <c r="AJ21" s="79"/>
      <c r="AK21" s="79"/>
      <c r="AL21" s="79"/>
      <c r="AM21" s="76"/>
      <c r="AN21" s="76"/>
      <c r="AO21" s="76"/>
      <c r="AP21" s="76"/>
      <c r="AQ21" s="76"/>
      <c r="AR21" s="79"/>
      <c r="AS21" s="79"/>
      <c r="AT21" s="79"/>
      <c r="AU21" s="79"/>
      <c r="AV21" s="79"/>
      <c r="AW21" s="78"/>
      <c r="AX21" s="76"/>
      <c r="AY21" s="76"/>
      <c r="AZ21" s="76"/>
      <c r="BA21" s="76"/>
      <c r="BB21" s="80"/>
      <c r="BC21" s="80"/>
      <c r="BD21" s="80"/>
      <c r="BE21" s="80"/>
      <c r="BF21" s="80"/>
      <c r="BG21" s="76"/>
      <c r="BH21" s="76"/>
      <c r="BI21" s="76"/>
      <c r="BJ21" s="76"/>
      <c r="BK21" s="76"/>
      <c r="BL21" s="80"/>
      <c r="BM21" s="80"/>
      <c r="BN21" s="80"/>
      <c r="BO21" s="80"/>
      <c r="BP21" s="80"/>
      <c r="BQ21" s="78"/>
      <c r="BR21" s="76"/>
      <c r="BS21" s="76"/>
      <c r="BT21" s="76"/>
      <c r="BU21" s="76"/>
      <c r="BV21" s="81"/>
      <c r="BW21" s="81"/>
      <c r="BX21" s="81"/>
      <c r="BY21" s="81"/>
      <c r="BZ21" s="81"/>
      <c r="CA21" s="76"/>
      <c r="CB21" s="76"/>
      <c r="CC21" s="76"/>
      <c r="CD21" s="76"/>
      <c r="CE21" s="76"/>
      <c r="CF21" s="81"/>
      <c r="CG21" s="81"/>
      <c r="CH21" s="81"/>
      <c r="CI21" s="81"/>
      <c r="CJ21" s="81"/>
      <c r="CK21" s="78"/>
      <c r="CL21" s="76"/>
      <c r="CM21" s="76"/>
      <c r="CN21" s="76"/>
      <c r="CO21" s="76"/>
      <c r="CP21" s="124"/>
      <c r="CQ21" s="125"/>
      <c r="CR21" s="125"/>
      <c r="CS21" s="125"/>
      <c r="CT21" s="125"/>
    </row>
    <row r="22" spans="1:353" s="49" customFormat="1" ht="19.95" customHeight="1" x14ac:dyDescent="0.3">
      <c r="B22" s="58">
        <v>2</v>
      </c>
      <c r="C22" s="95" t="s">
        <v>79</v>
      </c>
      <c r="D22" s="59"/>
      <c r="E22" s="60"/>
      <c r="F22" s="61"/>
      <c r="G22" s="62" t="str">
        <f t="shared" ref="G22:G76" si="4">IF(F22-E22=0,"",F22-E22)</f>
        <v/>
      </c>
      <c r="H22" s="29"/>
      <c r="I22" s="5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7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7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7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7"/>
      <c r="CL22" s="56"/>
      <c r="CM22" s="56"/>
      <c r="CN22" s="56"/>
      <c r="CO22" s="56"/>
      <c r="CP22" s="57"/>
      <c r="CQ22" s="56"/>
      <c r="CR22" s="56"/>
      <c r="CS22" s="56"/>
      <c r="CT22" s="56"/>
    </row>
    <row r="23" spans="1:353" s="83" customFormat="1" ht="19.95" customHeight="1" x14ac:dyDescent="0.3">
      <c r="A23" s="82"/>
      <c r="B23" s="107" t="s">
        <v>24</v>
      </c>
      <c r="C23" s="108" t="s">
        <v>80</v>
      </c>
      <c r="D23" s="109"/>
      <c r="E23" s="110"/>
      <c r="F23" s="111"/>
      <c r="G23" s="112" t="str">
        <f t="shared" si="4"/>
        <v/>
      </c>
      <c r="H23" s="113"/>
      <c r="I23" s="114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115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115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115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115"/>
      <c r="CL23" s="92"/>
      <c r="CM23" s="92"/>
      <c r="CN23" s="92"/>
      <c r="CO23" s="92"/>
      <c r="CP23" s="115"/>
      <c r="CQ23" s="92"/>
      <c r="CR23" s="92"/>
      <c r="CS23" s="92"/>
      <c r="CT23" s="9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  <c r="EN23" s="82"/>
      <c r="EO23" s="82"/>
      <c r="EP23" s="82"/>
      <c r="EQ23" s="82"/>
      <c r="ER23" s="82"/>
      <c r="ES23" s="82"/>
      <c r="ET23" s="82"/>
      <c r="EU23" s="82"/>
      <c r="EV23" s="82"/>
      <c r="EW23" s="82"/>
      <c r="EX23" s="82"/>
      <c r="EY23" s="82"/>
      <c r="EZ23" s="82"/>
      <c r="FA23" s="82"/>
      <c r="FB23" s="82"/>
      <c r="FC23" s="82"/>
      <c r="FD23" s="82"/>
      <c r="FE23" s="82"/>
      <c r="FF23" s="82"/>
      <c r="FG23" s="82"/>
      <c r="FH23" s="82"/>
      <c r="FI23" s="82"/>
      <c r="FJ23" s="82"/>
      <c r="FK23" s="82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  <c r="GG23" s="82"/>
      <c r="GH23" s="82"/>
      <c r="GI23" s="82"/>
      <c r="GJ23" s="82"/>
      <c r="GK23" s="82"/>
      <c r="GL23" s="82"/>
      <c r="GM23" s="82"/>
      <c r="GN23" s="82"/>
      <c r="GO23" s="82"/>
      <c r="GP23" s="82"/>
      <c r="GQ23" s="82"/>
      <c r="GR23" s="82"/>
      <c r="GS23" s="82"/>
      <c r="GT23" s="82"/>
      <c r="GU23" s="82"/>
      <c r="GV23" s="82"/>
      <c r="GW23" s="82"/>
      <c r="GX23" s="82"/>
      <c r="GY23" s="82"/>
      <c r="GZ23" s="82"/>
      <c r="HA23" s="82"/>
      <c r="HB23" s="82"/>
      <c r="HC23" s="82"/>
      <c r="HD23" s="82"/>
      <c r="HE23" s="82"/>
      <c r="HF23" s="82"/>
      <c r="HG23" s="82"/>
      <c r="HH23" s="82"/>
      <c r="HI23" s="82"/>
      <c r="HJ23" s="82"/>
      <c r="HK23" s="82"/>
      <c r="HL23" s="82"/>
      <c r="HM23" s="82"/>
      <c r="HN23" s="82"/>
      <c r="HO23" s="82"/>
      <c r="HP23" s="82"/>
      <c r="HQ23" s="82"/>
      <c r="HR23" s="82"/>
      <c r="HS23" s="82"/>
      <c r="HT23" s="82"/>
      <c r="HU23" s="82"/>
      <c r="HV23" s="82"/>
      <c r="HW23" s="82"/>
      <c r="HX23" s="82"/>
      <c r="HY23" s="82"/>
      <c r="HZ23" s="82"/>
      <c r="IA23" s="82"/>
      <c r="IB23" s="82"/>
      <c r="IC23" s="82"/>
      <c r="ID23" s="82"/>
      <c r="IE23" s="82"/>
      <c r="IF23" s="82"/>
      <c r="IG23" s="82"/>
      <c r="IH23" s="82"/>
      <c r="II23" s="82"/>
      <c r="IJ23" s="82"/>
      <c r="IK23" s="82"/>
      <c r="IL23" s="82"/>
      <c r="IM23" s="82"/>
      <c r="IN23" s="82"/>
      <c r="IO23" s="82"/>
      <c r="IP23" s="82"/>
      <c r="IQ23" s="82"/>
      <c r="IR23" s="82"/>
      <c r="IS23" s="82"/>
      <c r="IT23" s="82"/>
      <c r="IU23" s="82"/>
      <c r="IV23" s="82"/>
      <c r="IW23" s="82"/>
      <c r="IX23" s="82"/>
      <c r="IY23" s="82"/>
      <c r="IZ23" s="82"/>
      <c r="JA23" s="82"/>
      <c r="JB23" s="82"/>
      <c r="JC23" s="82"/>
      <c r="JD23" s="82"/>
      <c r="JE23" s="82"/>
      <c r="JF23" s="82"/>
      <c r="JG23" s="82"/>
      <c r="JH23" s="82"/>
      <c r="JI23" s="82"/>
      <c r="JJ23" s="82"/>
      <c r="JK23" s="82"/>
      <c r="JL23" s="82"/>
      <c r="JM23" s="82"/>
      <c r="JN23" s="82"/>
      <c r="JO23" s="82"/>
      <c r="JP23" s="82"/>
      <c r="JQ23" s="82"/>
      <c r="JR23" s="82"/>
      <c r="JS23" s="82"/>
      <c r="JT23" s="82"/>
      <c r="JU23" s="82"/>
      <c r="JV23" s="82"/>
      <c r="JW23" s="82"/>
      <c r="JX23" s="82"/>
      <c r="JY23" s="82"/>
      <c r="JZ23" s="82"/>
      <c r="KA23" s="82"/>
      <c r="KB23" s="82"/>
      <c r="KC23" s="82"/>
      <c r="KD23" s="82"/>
      <c r="KE23" s="82"/>
      <c r="KF23" s="82"/>
      <c r="KG23" s="82"/>
      <c r="KH23" s="82"/>
      <c r="KI23" s="82"/>
      <c r="KJ23" s="82"/>
      <c r="KK23" s="82"/>
      <c r="KL23" s="82"/>
      <c r="KM23" s="82"/>
      <c r="KN23" s="82"/>
      <c r="KO23" s="82"/>
      <c r="KP23" s="82"/>
      <c r="KQ23" s="82"/>
      <c r="KR23" s="82"/>
      <c r="KS23" s="82"/>
      <c r="KT23" s="82"/>
      <c r="KU23" s="82"/>
      <c r="KV23" s="82"/>
      <c r="KW23" s="82"/>
      <c r="KX23" s="82"/>
      <c r="KY23" s="82"/>
      <c r="KZ23" s="82"/>
      <c r="LA23" s="82"/>
      <c r="LB23" s="82"/>
      <c r="LC23" s="82"/>
      <c r="LD23" s="82"/>
      <c r="LE23" s="82"/>
      <c r="LF23" s="82"/>
      <c r="LG23" s="82"/>
      <c r="LH23" s="82"/>
      <c r="LI23" s="82"/>
      <c r="LJ23" s="82"/>
      <c r="LK23" s="82"/>
      <c r="LL23" s="82"/>
      <c r="LM23" s="82"/>
      <c r="LN23" s="82"/>
      <c r="LO23" s="82"/>
      <c r="LP23" s="82"/>
      <c r="LQ23" s="82"/>
      <c r="LR23" s="82"/>
      <c r="LS23" s="82"/>
      <c r="LT23" s="82"/>
      <c r="LU23" s="82"/>
      <c r="LV23" s="82"/>
      <c r="LW23" s="82"/>
      <c r="LX23" s="82"/>
      <c r="LY23" s="82"/>
      <c r="LZ23" s="82"/>
      <c r="MA23" s="82"/>
      <c r="MB23" s="82"/>
      <c r="MC23" s="82"/>
      <c r="MD23" s="82"/>
      <c r="ME23" s="82"/>
      <c r="MF23" s="82"/>
      <c r="MG23" s="82"/>
      <c r="MH23" s="82"/>
      <c r="MI23" s="82"/>
      <c r="MJ23" s="82"/>
      <c r="MK23" s="82"/>
      <c r="ML23" s="82"/>
      <c r="MM23" s="82"/>
      <c r="MN23" s="82"/>
      <c r="MO23" s="82"/>
    </row>
    <row r="24" spans="1:353" s="82" customFormat="1" ht="19.95" customHeight="1" x14ac:dyDescent="0.3">
      <c r="B24" s="84" t="s">
        <v>81</v>
      </c>
      <c r="C24" s="93" t="s">
        <v>125</v>
      </c>
      <c r="D24" s="96" t="s">
        <v>60</v>
      </c>
      <c r="E24" s="71">
        <v>46266</v>
      </c>
      <c r="F24" s="72">
        <v>46268</v>
      </c>
      <c r="G24" s="73">
        <f t="shared" ref="G24:G29" si="5">IF(OR(E24="",F24=""),"",NETWORKDAYS(E24,F24))</f>
        <v>3</v>
      </c>
      <c r="H24" s="74">
        <v>0</v>
      </c>
      <c r="I24" s="86"/>
      <c r="J24" s="87"/>
      <c r="K24" s="87"/>
      <c r="L24" s="87"/>
      <c r="M24" s="87"/>
      <c r="N24" s="88"/>
      <c r="O24" s="88"/>
      <c r="P24" s="88"/>
      <c r="Q24" s="88"/>
      <c r="R24" s="88"/>
      <c r="S24" s="87"/>
      <c r="T24" s="87"/>
      <c r="U24" s="87"/>
      <c r="V24" s="87"/>
      <c r="W24" s="87"/>
      <c r="X24" s="77"/>
      <c r="Y24" s="128"/>
      <c r="Z24" s="128"/>
      <c r="AA24" s="128"/>
      <c r="AB24" s="77"/>
      <c r="AC24" s="89"/>
      <c r="AD24" s="87"/>
      <c r="AE24" s="87"/>
      <c r="AF24" s="87"/>
      <c r="AG24" s="87"/>
      <c r="AH24" s="90"/>
      <c r="AI24" s="90"/>
      <c r="AJ24" s="90"/>
      <c r="AK24" s="90"/>
      <c r="AL24" s="90"/>
      <c r="AM24" s="87"/>
      <c r="AN24" s="87"/>
      <c r="AO24" s="87"/>
      <c r="AP24" s="87"/>
      <c r="AQ24" s="87"/>
      <c r="AR24" s="90"/>
      <c r="AS24" s="90"/>
      <c r="AT24" s="90"/>
      <c r="AU24" s="90"/>
      <c r="AV24" s="90"/>
      <c r="AW24" s="89"/>
      <c r="AX24" s="87"/>
      <c r="AY24" s="87"/>
      <c r="AZ24" s="87"/>
      <c r="BA24" s="87"/>
      <c r="BB24" s="91"/>
      <c r="BC24" s="91"/>
      <c r="BD24" s="91"/>
      <c r="BE24" s="91"/>
      <c r="BF24" s="91"/>
      <c r="BG24" s="87"/>
      <c r="BH24" s="87"/>
      <c r="BI24" s="87"/>
      <c r="BJ24" s="87"/>
      <c r="BK24" s="87"/>
      <c r="BL24" s="91"/>
      <c r="BM24" s="91"/>
      <c r="BN24" s="91"/>
      <c r="BO24" s="91"/>
      <c r="BP24" s="91"/>
      <c r="BQ24" s="89"/>
      <c r="BR24" s="87"/>
      <c r="BS24" s="87"/>
      <c r="BT24" s="87"/>
      <c r="BU24" s="87"/>
      <c r="BV24" s="92"/>
      <c r="BW24" s="92"/>
      <c r="BX24" s="92"/>
      <c r="BY24" s="92"/>
      <c r="BZ24" s="92"/>
      <c r="CA24" s="87"/>
      <c r="CB24" s="87"/>
      <c r="CC24" s="87"/>
      <c r="CD24" s="87"/>
      <c r="CE24" s="87"/>
      <c r="CF24" s="92"/>
      <c r="CG24" s="92"/>
      <c r="CH24" s="92"/>
      <c r="CI24" s="92"/>
      <c r="CJ24" s="92"/>
      <c r="CK24" s="89"/>
      <c r="CL24" s="87"/>
      <c r="CM24" s="87"/>
      <c r="CN24" s="87"/>
      <c r="CO24" s="87"/>
      <c r="CP24" s="126"/>
      <c r="CQ24" s="127"/>
      <c r="CR24" s="127"/>
      <c r="CS24" s="127"/>
      <c r="CT24" s="127"/>
    </row>
    <row r="25" spans="1:353" s="82" customFormat="1" ht="19.95" customHeight="1" x14ac:dyDescent="0.3">
      <c r="B25" s="84" t="s">
        <v>82</v>
      </c>
      <c r="C25" s="93" t="s">
        <v>126</v>
      </c>
      <c r="D25" s="96" t="s">
        <v>60</v>
      </c>
      <c r="E25" s="71">
        <v>46269</v>
      </c>
      <c r="F25" s="72">
        <v>46273</v>
      </c>
      <c r="G25" s="73">
        <f t="shared" si="5"/>
        <v>3</v>
      </c>
      <c r="H25" s="85">
        <v>0</v>
      </c>
      <c r="I25" s="86"/>
      <c r="J25" s="87"/>
      <c r="K25" s="87"/>
      <c r="L25" s="87"/>
      <c r="M25" s="87"/>
      <c r="N25" s="88"/>
      <c r="O25" s="88"/>
      <c r="P25" s="88"/>
      <c r="Q25" s="88"/>
      <c r="R25" s="88"/>
      <c r="S25" s="87"/>
      <c r="T25" s="87"/>
      <c r="U25" s="87"/>
      <c r="V25" s="87"/>
      <c r="W25" s="87"/>
      <c r="X25" s="77"/>
      <c r="Y25" s="77"/>
      <c r="Z25" s="77"/>
      <c r="AA25" s="77"/>
      <c r="AB25" s="128"/>
      <c r="AC25" s="123"/>
      <c r="AD25" s="123"/>
      <c r="AE25" s="89"/>
      <c r="AF25" s="89"/>
      <c r="AG25" s="89"/>
      <c r="AH25" s="90"/>
      <c r="AI25" s="90"/>
      <c r="AJ25" s="90"/>
      <c r="AK25" s="90"/>
      <c r="AL25" s="90"/>
      <c r="AM25" s="87"/>
      <c r="AN25" s="87"/>
      <c r="AO25" s="87"/>
      <c r="AP25" s="87"/>
      <c r="AQ25" s="87"/>
      <c r="AR25" s="90"/>
      <c r="AS25" s="90"/>
      <c r="AT25" s="90"/>
      <c r="AU25" s="90"/>
      <c r="AV25" s="90"/>
      <c r="AW25" s="89"/>
      <c r="AX25" s="87"/>
      <c r="AY25" s="87"/>
      <c r="AZ25" s="87"/>
      <c r="BA25" s="87"/>
      <c r="BB25" s="91"/>
      <c r="BC25" s="91"/>
      <c r="BD25" s="91"/>
      <c r="BE25" s="91"/>
      <c r="BF25" s="91"/>
      <c r="BG25" s="87"/>
      <c r="BH25" s="87"/>
      <c r="BI25" s="87"/>
      <c r="BJ25" s="87"/>
      <c r="BK25" s="87"/>
      <c r="BL25" s="91"/>
      <c r="BM25" s="91"/>
      <c r="BN25" s="91"/>
      <c r="BO25" s="91"/>
      <c r="BP25" s="91"/>
      <c r="BQ25" s="89"/>
      <c r="BR25" s="87"/>
      <c r="BS25" s="87"/>
      <c r="BT25" s="87"/>
      <c r="BU25" s="87"/>
      <c r="BV25" s="92"/>
      <c r="BW25" s="92"/>
      <c r="BX25" s="92"/>
      <c r="BY25" s="92"/>
      <c r="BZ25" s="92"/>
      <c r="CA25" s="87"/>
      <c r="CB25" s="87"/>
      <c r="CC25" s="87"/>
      <c r="CD25" s="87"/>
      <c r="CE25" s="87"/>
      <c r="CF25" s="92"/>
      <c r="CG25" s="92"/>
      <c r="CH25" s="92"/>
      <c r="CI25" s="92"/>
      <c r="CJ25" s="92"/>
      <c r="CK25" s="89"/>
      <c r="CL25" s="87"/>
      <c r="CM25" s="87"/>
      <c r="CN25" s="87"/>
      <c r="CO25" s="87"/>
      <c r="CP25" s="126"/>
      <c r="CQ25" s="127"/>
      <c r="CR25" s="127"/>
      <c r="CS25" s="127"/>
      <c r="CT25" s="127"/>
    </row>
    <row r="26" spans="1:353" s="82" customFormat="1" ht="19.95" customHeight="1" x14ac:dyDescent="0.3">
      <c r="B26" s="84" t="s">
        <v>83</v>
      </c>
      <c r="C26" s="93" t="s">
        <v>186</v>
      </c>
      <c r="D26" s="96" t="s">
        <v>55</v>
      </c>
      <c r="E26" s="71">
        <v>46266</v>
      </c>
      <c r="F26" s="72">
        <v>46269</v>
      </c>
      <c r="G26" s="73">
        <f t="shared" si="5"/>
        <v>4</v>
      </c>
      <c r="H26" s="85">
        <v>0</v>
      </c>
      <c r="I26" s="86"/>
      <c r="J26" s="87"/>
      <c r="K26" s="87"/>
      <c r="L26" s="87"/>
      <c r="M26" s="87"/>
      <c r="N26" s="88"/>
      <c r="O26" s="88"/>
      <c r="P26" s="88"/>
      <c r="Q26" s="88"/>
      <c r="R26" s="88"/>
      <c r="S26" s="87"/>
      <c r="T26" s="87"/>
      <c r="U26" s="87"/>
      <c r="V26" s="87"/>
      <c r="W26" s="87"/>
      <c r="X26" s="77"/>
      <c r="Y26" s="128"/>
      <c r="Z26" s="128"/>
      <c r="AA26" s="128"/>
      <c r="AB26" s="128"/>
      <c r="AC26" s="89"/>
      <c r="AD26" s="89"/>
      <c r="AE26" s="89"/>
      <c r="AF26" s="89"/>
      <c r="AG26" s="89"/>
      <c r="AH26" s="90"/>
      <c r="AI26" s="90"/>
      <c r="AJ26" s="90"/>
      <c r="AK26" s="90"/>
      <c r="AL26" s="90"/>
      <c r="AM26" s="87"/>
      <c r="AN26" s="87"/>
      <c r="AO26" s="87"/>
      <c r="AP26" s="87"/>
      <c r="AQ26" s="87"/>
      <c r="AR26" s="90"/>
      <c r="AS26" s="90"/>
      <c r="AT26" s="90"/>
      <c r="AU26" s="90"/>
      <c r="AV26" s="90"/>
      <c r="AW26" s="89"/>
      <c r="AX26" s="87"/>
      <c r="AY26" s="87"/>
      <c r="AZ26" s="87"/>
      <c r="BA26" s="87"/>
      <c r="BB26" s="91"/>
      <c r="BC26" s="91"/>
      <c r="BD26" s="91"/>
      <c r="BE26" s="91"/>
      <c r="BF26" s="91"/>
      <c r="BG26" s="87"/>
      <c r="BH26" s="87"/>
      <c r="BI26" s="87"/>
      <c r="BJ26" s="87"/>
      <c r="BK26" s="87"/>
      <c r="BL26" s="91"/>
      <c r="BM26" s="91"/>
      <c r="BN26" s="91"/>
      <c r="BO26" s="91"/>
      <c r="BP26" s="91"/>
      <c r="BQ26" s="89"/>
      <c r="BR26" s="87"/>
      <c r="BS26" s="87"/>
      <c r="BT26" s="87"/>
      <c r="BU26" s="87"/>
      <c r="BV26" s="92"/>
      <c r="BW26" s="92"/>
      <c r="BX26" s="92"/>
      <c r="BY26" s="92"/>
      <c r="BZ26" s="92"/>
      <c r="CA26" s="87"/>
      <c r="CB26" s="87"/>
      <c r="CC26" s="87"/>
      <c r="CD26" s="87"/>
      <c r="CE26" s="87"/>
      <c r="CF26" s="92"/>
      <c r="CG26" s="92"/>
      <c r="CH26" s="92"/>
      <c r="CI26" s="92"/>
      <c r="CJ26" s="92"/>
      <c r="CK26" s="89"/>
      <c r="CL26" s="87"/>
      <c r="CM26" s="87"/>
      <c r="CN26" s="87"/>
      <c r="CO26" s="87"/>
      <c r="CP26" s="126"/>
      <c r="CQ26" s="127"/>
      <c r="CR26" s="127"/>
      <c r="CS26" s="127"/>
      <c r="CT26" s="127"/>
    </row>
    <row r="27" spans="1:353" s="82" customFormat="1" ht="19.95" customHeight="1" x14ac:dyDescent="0.3">
      <c r="B27" s="84" t="s">
        <v>84</v>
      </c>
      <c r="C27" s="93" t="s">
        <v>127</v>
      </c>
      <c r="D27" s="96" t="s">
        <v>60</v>
      </c>
      <c r="E27" s="71">
        <v>46274</v>
      </c>
      <c r="F27" s="72">
        <v>46276</v>
      </c>
      <c r="G27" s="73">
        <f t="shared" si="5"/>
        <v>3</v>
      </c>
      <c r="H27" s="85">
        <v>0</v>
      </c>
      <c r="I27" s="86"/>
      <c r="J27" s="87"/>
      <c r="K27" s="87"/>
      <c r="L27" s="87"/>
      <c r="M27" s="87"/>
      <c r="N27" s="88"/>
      <c r="O27" s="88"/>
      <c r="P27" s="88"/>
      <c r="Q27" s="88"/>
      <c r="R27" s="88"/>
      <c r="S27" s="87"/>
      <c r="T27" s="87"/>
      <c r="U27" s="87"/>
      <c r="V27" s="87"/>
      <c r="W27" s="87"/>
      <c r="X27" s="77"/>
      <c r="Y27" s="77"/>
      <c r="Z27" s="77"/>
      <c r="AA27" s="77"/>
      <c r="AB27" s="77"/>
      <c r="AC27" s="89"/>
      <c r="AD27" s="89"/>
      <c r="AE27" s="123"/>
      <c r="AF27" s="123"/>
      <c r="AG27" s="123"/>
      <c r="AH27" s="90"/>
      <c r="AI27" s="90"/>
      <c r="AJ27" s="90"/>
      <c r="AK27" s="90"/>
      <c r="AL27" s="90"/>
      <c r="AM27" s="87"/>
      <c r="AN27" s="87"/>
      <c r="AO27" s="87"/>
      <c r="AP27" s="87"/>
      <c r="AQ27" s="87"/>
      <c r="AR27" s="90"/>
      <c r="AS27" s="90"/>
      <c r="AT27" s="90"/>
      <c r="AU27" s="90"/>
      <c r="AV27" s="90"/>
      <c r="AW27" s="89"/>
      <c r="AX27" s="87"/>
      <c r="AY27" s="87"/>
      <c r="AZ27" s="87"/>
      <c r="BA27" s="87"/>
      <c r="BB27" s="91"/>
      <c r="BC27" s="91"/>
      <c r="BD27" s="91"/>
      <c r="BE27" s="91"/>
      <c r="BF27" s="91"/>
      <c r="BG27" s="87"/>
      <c r="BH27" s="87"/>
      <c r="BI27" s="87"/>
      <c r="BJ27" s="87"/>
      <c r="BK27" s="87"/>
      <c r="BL27" s="91"/>
      <c r="BM27" s="91"/>
      <c r="BN27" s="91"/>
      <c r="BO27" s="91"/>
      <c r="BP27" s="91"/>
      <c r="BQ27" s="89"/>
      <c r="BR27" s="87"/>
      <c r="BS27" s="87"/>
      <c r="BT27" s="87"/>
      <c r="BU27" s="87"/>
      <c r="BV27" s="92"/>
      <c r="BW27" s="92"/>
      <c r="BX27" s="92"/>
      <c r="BY27" s="92"/>
      <c r="BZ27" s="92"/>
      <c r="CA27" s="87"/>
      <c r="CB27" s="87"/>
      <c r="CC27" s="87"/>
      <c r="CD27" s="87"/>
      <c r="CE27" s="87"/>
      <c r="CF27" s="92"/>
      <c r="CG27" s="92"/>
      <c r="CH27" s="92"/>
      <c r="CI27" s="92"/>
      <c r="CJ27" s="92"/>
      <c r="CK27" s="89"/>
      <c r="CL27" s="87"/>
      <c r="CM27" s="87"/>
      <c r="CN27" s="87"/>
      <c r="CO27" s="87"/>
      <c r="CP27" s="126"/>
      <c r="CQ27" s="127"/>
      <c r="CR27" s="127"/>
      <c r="CS27" s="127"/>
      <c r="CT27" s="127"/>
    </row>
    <row r="28" spans="1:353" s="82" customFormat="1" ht="19.95" customHeight="1" x14ac:dyDescent="0.3">
      <c r="B28" s="84" t="s">
        <v>85</v>
      </c>
      <c r="C28" s="93" t="s">
        <v>194</v>
      </c>
      <c r="D28" s="96" t="s">
        <v>55</v>
      </c>
      <c r="E28" s="71">
        <v>46272</v>
      </c>
      <c r="F28" s="72">
        <v>46276</v>
      </c>
      <c r="G28" s="73">
        <f t="shared" si="5"/>
        <v>5</v>
      </c>
      <c r="H28" s="85">
        <v>0</v>
      </c>
      <c r="I28" s="86"/>
      <c r="J28" s="87"/>
      <c r="K28" s="87"/>
      <c r="L28" s="87"/>
      <c r="M28" s="87"/>
      <c r="N28" s="88"/>
      <c r="O28" s="88"/>
      <c r="P28" s="88"/>
      <c r="Q28" s="88"/>
      <c r="R28" s="88"/>
      <c r="S28" s="87"/>
      <c r="T28" s="87"/>
      <c r="U28" s="87"/>
      <c r="V28" s="87"/>
      <c r="W28" s="87"/>
      <c r="X28" s="77"/>
      <c r="Y28" s="77"/>
      <c r="Z28" s="77"/>
      <c r="AA28" s="77"/>
      <c r="AB28" s="77"/>
      <c r="AC28" s="123"/>
      <c r="AD28" s="123"/>
      <c r="AE28" s="123"/>
      <c r="AF28" s="123"/>
      <c r="AG28" s="123"/>
      <c r="AH28" s="90"/>
      <c r="AI28" s="90"/>
      <c r="AJ28" s="90"/>
      <c r="AK28" s="90"/>
      <c r="AL28" s="90"/>
      <c r="AM28" s="87"/>
      <c r="AN28" s="87"/>
      <c r="AO28" s="87"/>
      <c r="AP28" s="87"/>
      <c r="AQ28" s="87"/>
      <c r="AR28" s="90"/>
      <c r="AS28" s="90"/>
      <c r="AT28" s="90"/>
      <c r="AU28" s="90"/>
      <c r="AV28" s="90"/>
      <c r="AW28" s="89"/>
      <c r="AX28" s="87"/>
      <c r="AY28" s="87"/>
      <c r="AZ28" s="87"/>
      <c r="BA28" s="87"/>
      <c r="BB28" s="91"/>
      <c r="BC28" s="91"/>
      <c r="BD28" s="91"/>
      <c r="BE28" s="91"/>
      <c r="BF28" s="91"/>
      <c r="BG28" s="87"/>
      <c r="BH28" s="87"/>
      <c r="BI28" s="87"/>
      <c r="BJ28" s="87"/>
      <c r="BK28" s="87"/>
      <c r="BL28" s="91"/>
      <c r="BM28" s="91"/>
      <c r="BN28" s="91"/>
      <c r="BO28" s="91"/>
      <c r="BP28" s="91"/>
      <c r="BQ28" s="89"/>
      <c r="BR28" s="87"/>
      <c r="BS28" s="87"/>
      <c r="BT28" s="87"/>
      <c r="BU28" s="87"/>
      <c r="BV28" s="92"/>
      <c r="BW28" s="92"/>
      <c r="BX28" s="92"/>
      <c r="BY28" s="92"/>
      <c r="BZ28" s="92"/>
      <c r="CA28" s="87"/>
      <c r="CB28" s="87"/>
      <c r="CC28" s="87"/>
      <c r="CD28" s="87"/>
      <c r="CE28" s="87"/>
      <c r="CF28" s="92"/>
      <c r="CG28" s="92"/>
      <c r="CH28" s="92"/>
      <c r="CI28" s="92"/>
      <c r="CJ28" s="92"/>
      <c r="CK28" s="89"/>
      <c r="CL28" s="87"/>
      <c r="CM28" s="87"/>
      <c r="CN28" s="87"/>
      <c r="CO28" s="87"/>
      <c r="CP28" s="126"/>
      <c r="CQ28" s="127"/>
      <c r="CR28" s="127"/>
      <c r="CS28" s="127"/>
      <c r="CT28" s="127"/>
    </row>
    <row r="29" spans="1:353" s="82" customFormat="1" ht="19.95" customHeight="1" x14ac:dyDescent="0.3">
      <c r="B29" s="84" t="s">
        <v>86</v>
      </c>
      <c r="C29" s="93" t="s">
        <v>128</v>
      </c>
      <c r="D29" s="96" t="s">
        <v>61</v>
      </c>
      <c r="E29" s="71">
        <v>46276</v>
      </c>
      <c r="F29" s="72">
        <v>46276</v>
      </c>
      <c r="G29" s="73">
        <f t="shared" si="5"/>
        <v>1</v>
      </c>
      <c r="H29" s="85">
        <v>0</v>
      </c>
      <c r="I29" s="86"/>
      <c r="J29" s="87"/>
      <c r="K29" s="87"/>
      <c r="L29" s="87"/>
      <c r="M29" s="87"/>
      <c r="N29" s="88"/>
      <c r="O29" s="88"/>
      <c r="P29" s="88"/>
      <c r="Q29" s="88"/>
      <c r="R29" s="88"/>
      <c r="S29" s="87"/>
      <c r="T29" s="87"/>
      <c r="U29" s="87"/>
      <c r="V29" s="87"/>
      <c r="W29" s="87"/>
      <c r="X29" s="77"/>
      <c r="Y29" s="77"/>
      <c r="Z29" s="77"/>
      <c r="AA29" s="77"/>
      <c r="AB29" s="77"/>
      <c r="AC29" s="89"/>
      <c r="AD29" s="89"/>
      <c r="AE29" s="89"/>
      <c r="AF29" s="89"/>
      <c r="AG29" s="123"/>
      <c r="AH29" s="90"/>
      <c r="AI29" s="90"/>
      <c r="AJ29" s="90"/>
      <c r="AK29" s="90"/>
      <c r="AL29" s="90"/>
      <c r="AM29" s="87"/>
      <c r="AN29" s="87"/>
      <c r="AO29" s="87"/>
      <c r="AP29" s="87"/>
      <c r="AQ29" s="87"/>
      <c r="AR29" s="90"/>
      <c r="AS29" s="90"/>
      <c r="AT29" s="90"/>
      <c r="AU29" s="90"/>
      <c r="AV29" s="90"/>
      <c r="AW29" s="89"/>
      <c r="AX29" s="87"/>
      <c r="AY29" s="87"/>
      <c r="AZ29" s="87"/>
      <c r="BA29" s="87"/>
      <c r="BB29" s="91"/>
      <c r="BC29" s="91"/>
      <c r="BD29" s="91"/>
      <c r="BE29" s="91"/>
      <c r="BF29" s="91"/>
      <c r="BG29" s="87"/>
      <c r="BH29" s="87"/>
      <c r="BI29" s="87"/>
      <c r="BJ29" s="87"/>
      <c r="BK29" s="87"/>
      <c r="BL29" s="91"/>
      <c r="BM29" s="91"/>
      <c r="BN29" s="91"/>
      <c r="BO29" s="91"/>
      <c r="BP29" s="91"/>
      <c r="BQ29" s="89"/>
      <c r="BR29" s="87"/>
      <c r="BS29" s="87"/>
      <c r="BT29" s="87"/>
      <c r="BU29" s="87"/>
      <c r="BV29" s="92"/>
      <c r="BW29" s="92"/>
      <c r="BX29" s="92"/>
      <c r="BY29" s="92"/>
      <c r="BZ29" s="92"/>
      <c r="CA29" s="87"/>
      <c r="CB29" s="87"/>
      <c r="CC29" s="87"/>
      <c r="CD29" s="87"/>
      <c r="CE29" s="87"/>
      <c r="CF29" s="92"/>
      <c r="CG29" s="92"/>
      <c r="CH29" s="92"/>
      <c r="CI29" s="92"/>
      <c r="CJ29" s="92"/>
      <c r="CK29" s="89"/>
      <c r="CL29" s="87"/>
      <c r="CM29" s="87"/>
      <c r="CN29" s="87"/>
      <c r="CO29" s="87"/>
      <c r="CP29" s="126"/>
      <c r="CQ29" s="127"/>
      <c r="CR29" s="127"/>
      <c r="CS29" s="127"/>
      <c r="CT29" s="127"/>
    </row>
    <row r="30" spans="1:353" s="83" customFormat="1" ht="19.95" customHeight="1" x14ac:dyDescent="0.3">
      <c r="A30" s="82"/>
      <c r="B30" s="107" t="s">
        <v>25</v>
      </c>
      <c r="C30" s="108" t="s">
        <v>129</v>
      </c>
      <c r="D30" s="109"/>
      <c r="E30" s="109"/>
      <c r="F30" s="109"/>
      <c r="G30" s="111" t="str">
        <f t="shared" si="4"/>
        <v/>
      </c>
      <c r="H30" s="113"/>
      <c r="I30" s="114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115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115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115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115"/>
      <c r="CL30" s="92"/>
      <c r="CM30" s="92"/>
      <c r="CN30" s="92"/>
      <c r="CO30" s="92"/>
      <c r="CP30" s="115"/>
      <c r="CQ30" s="92"/>
      <c r="CR30" s="92"/>
      <c r="CS30" s="92"/>
      <c r="CT30" s="9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82"/>
      <c r="DV30" s="82"/>
      <c r="DW30" s="82"/>
      <c r="DX30" s="82"/>
      <c r="DY30" s="82"/>
      <c r="DZ30" s="82"/>
      <c r="EA30" s="82"/>
      <c r="EB30" s="82"/>
      <c r="EC30" s="82"/>
      <c r="ED30" s="82"/>
      <c r="EE30" s="82"/>
      <c r="EF30" s="82"/>
      <c r="EG30" s="82"/>
      <c r="EH30" s="82"/>
      <c r="EI30" s="82"/>
      <c r="EJ30" s="82"/>
      <c r="EK30" s="82"/>
      <c r="EL30" s="82"/>
      <c r="EM30" s="82"/>
      <c r="EN30" s="82"/>
      <c r="EO30" s="82"/>
      <c r="EP30" s="82"/>
      <c r="EQ30" s="82"/>
      <c r="ER30" s="82"/>
      <c r="ES30" s="82"/>
      <c r="ET30" s="82"/>
      <c r="EU30" s="82"/>
      <c r="EV30" s="82"/>
      <c r="EW30" s="82"/>
      <c r="EX30" s="82"/>
      <c r="EY30" s="82"/>
      <c r="EZ30" s="82"/>
      <c r="FA30" s="82"/>
      <c r="FB30" s="82"/>
      <c r="FC30" s="82"/>
      <c r="FD30" s="82"/>
      <c r="FE30" s="82"/>
      <c r="FF30" s="82"/>
      <c r="FG30" s="82"/>
      <c r="FH30" s="82"/>
      <c r="FI30" s="82"/>
      <c r="FJ30" s="82"/>
      <c r="FK30" s="82"/>
      <c r="FL30" s="82"/>
      <c r="FM30" s="82"/>
      <c r="FN30" s="82"/>
      <c r="FO30" s="82"/>
      <c r="FP30" s="82"/>
      <c r="FQ30" s="82"/>
      <c r="FR30" s="82"/>
      <c r="FS30" s="82"/>
      <c r="FT30" s="82"/>
      <c r="FU30" s="82"/>
      <c r="FV30" s="82"/>
      <c r="FW30" s="82"/>
      <c r="FX30" s="82"/>
      <c r="FY30" s="82"/>
      <c r="FZ30" s="82"/>
      <c r="GA30" s="82"/>
      <c r="GB30" s="82"/>
      <c r="GC30" s="82"/>
      <c r="GD30" s="82"/>
      <c r="GE30" s="82"/>
      <c r="GF30" s="82"/>
      <c r="GG30" s="82"/>
      <c r="GH30" s="82"/>
      <c r="GI30" s="82"/>
      <c r="GJ30" s="82"/>
      <c r="GK30" s="82"/>
      <c r="GL30" s="82"/>
      <c r="GM30" s="82"/>
      <c r="GN30" s="82"/>
      <c r="GO30" s="82"/>
      <c r="GP30" s="82"/>
      <c r="GQ30" s="82"/>
      <c r="GR30" s="82"/>
      <c r="GS30" s="82"/>
      <c r="GT30" s="82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2"/>
      <c r="HK30" s="82"/>
      <c r="HL30" s="82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2"/>
      <c r="IC30" s="82"/>
      <c r="ID30" s="82"/>
      <c r="IE30" s="82"/>
      <c r="IF30" s="82"/>
      <c r="IG30" s="82"/>
      <c r="IH30" s="82"/>
      <c r="II30" s="82"/>
      <c r="IJ30" s="82"/>
      <c r="IK30" s="82"/>
      <c r="IL30" s="82"/>
      <c r="IM30" s="82"/>
      <c r="IN30" s="82"/>
      <c r="IO30" s="82"/>
      <c r="IP30" s="82"/>
      <c r="IQ30" s="82"/>
      <c r="IR30" s="82"/>
      <c r="IS30" s="82"/>
      <c r="IT30" s="82"/>
      <c r="IU30" s="82"/>
      <c r="IV30" s="82"/>
      <c r="IW30" s="82"/>
      <c r="IX30" s="82"/>
      <c r="IY30" s="82"/>
      <c r="IZ30" s="82"/>
      <c r="JA30" s="82"/>
      <c r="JB30" s="82"/>
      <c r="JC30" s="82"/>
      <c r="JD30" s="82"/>
      <c r="JE30" s="82"/>
      <c r="JF30" s="82"/>
      <c r="JG30" s="82"/>
      <c r="JH30" s="82"/>
      <c r="JI30" s="82"/>
      <c r="JJ30" s="82"/>
      <c r="JK30" s="82"/>
      <c r="JL30" s="82"/>
      <c r="JM30" s="82"/>
      <c r="JN30" s="82"/>
      <c r="JO30" s="82"/>
      <c r="JP30" s="82"/>
      <c r="JQ30" s="82"/>
      <c r="JR30" s="82"/>
      <c r="JS30" s="82"/>
      <c r="JT30" s="82"/>
      <c r="JU30" s="82"/>
      <c r="JV30" s="82"/>
      <c r="JW30" s="82"/>
      <c r="JX30" s="82"/>
      <c r="JY30" s="82"/>
      <c r="JZ30" s="82"/>
      <c r="KA30" s="82"/>
      <c r="KB30" s="82"/>
      <c r="KC30" s="82"/>
      <c r="KD30" s="82"/>
      <c r="KE30" s="82"/>
      <c r="KF30" s="82"/>
      <c r="KG30" s="82"/>
      <c r="KH30" s="82"/>
      <c r="KI30" s="82"/>
      <c r="KJ30" s="82"/>
      <c r="KK30" s="82"/>
      <c r="KL30" s="82"/>
      <c r="KM30" s="82"/>
      <c r="KN30" s="82"/>
      <c r="KO30" s="82"/>
      <c r="KP30" s="82"/>
      <c r="KQ30" s="82"/>
      <c r="KR30" s="82"/>
      <c r="KS30" s="82"/>
      <c r="KT30" s="82"/>
      <c r="KU30" s="82"/>
      <c r="KV30" s="82"/>
      <c r="KW30" s="82"/>
      <c r="KX30" s="82"/>
      <c r="KY30" s="82"/>
      <c r="KZ30" s="82"/>
      <c r="LA30" s="82"/>
      <c r="LB30" s="82"/>
      <c r="LC30" s="82"/>
      <c r="LD30" s="82"/>
      <c r="LE30" s="82"/>
      <c r="LF30" s="82"/>
      <c r="LG30" s="82"/>
      <c r="LH30" s="82"/>
      <c r="LI30" s="82"/>
      <c r="LJ30" s="82"/>
      <c r="LK30" s="82"/>
      <c r="LL30" s="82"/>
      <c r="LM30" s="82"/>
      <c r="LN30" s="82"/>
      <c r="LO30" s="82"/>
      <c r="LP30" s="82"/>
      <c r="LQ30" s="82"/>
      <c r="LR30" s="82"/>
      <c r="LS30" s="82"/>
      <c r="LT30" s="82"/>
      <c r="LU30" s="82"/>
      <c r="LV30" s="82"/>
      <c r="LW30" s="82"/>
      <c r="LX30" s="82"/>
      <c r="LY30" s="82"/>
      <c r="LZ30" s="82"/>
      <c r="MA30" s="82"/>
      <c r="MB30" s="82"/>
      <c r="MC30" s="82"/>
      <c r="MD30" s="82"/>
      <c r="ME30" s="82"/>
      <c r="MF30" s="82"/>
      <c r="MG30" s="82"/>
      <c r="MH30" s="82"/>
      <c r="MI30" s="82"/>
      <c r="MJ30" s="82"/>
      <c r="MK30" s="82"/>
      <c r="ML30" s="82"/>
      <c r="MM30" s="82"/>
      <c r="MN30" s="82"/>
      <c r="MO30" s="82"/>
    </row>
    <row r="31" spans="1:353" s="82" customFormat="1" ht="19.95" customHeight="1" x14ac:dyDescent="0.3">
      <c r="B31" s="84" t="s">
        <v>87</v>
      </c>
      <c r="C31" s="93" t="s">
        <v>130</v>
      </c>
      <c r="D31" s="96" t="s">
        <v>60</v>
      </c>
      <c r="E31" s="71">
        <v>46279</v>
      </c>
      <c r="F31" s="72">
        <v>46281</v>
      </c>
      <c r="G31" s="73">
        <f t="shared" ref="G31:G35" si="6">IF(OR(E31="",F31=""),"",NETWORKDAYS(E31,F31))</f>
        <v>3</v>
      </c>
      <c r="H31" s="85">
        <v>0</v>
      </c>
      <c r="I31" s="86"/>
      <c r="J31" s="87"/>
      <c r="K31" s="87"/>
      <c r="L31" s="87"/>
      <c r="M31" s="87"/>
      <c r="N31" s="88"/>
      <c r="O31" s="88"/>
      <c r="P31" s="88"/>
      <c r="Q31" s="88"/>
      <c r="R31" s="88"/>
      <c r="S31" s="87"/>
      <c r="T31" s="87"/>
      <c r="U31" s="87"/>
      <c r="V31" s="87"/>
      <c r="W31" s="87"/>
      <c r="X31" s="88"/>
      <c r="Y31" s="88"/>
      <c r="Z31" s="88"/>
      <c r="AA31" s="88"/>
      <c r="AB31" s="88"/>
      <c r="AC31" s="89"/>
      <c r="AD31" s="87"/>
      <c r="AE31" s="87"/>
      <c r="AF31" s="87"/>
      <c r="AG31" s="87"/>
      <c r="AH31" s="122"/>
      <c r="AI31" s="122"/>
      <c r="AJ31" s="122"/>
      <c r="AK31" s="90"/>
      <c r="AL31" s="90"/>
      <c r="AM31" s="87"/>
      <c r="AN31" s="87"/>
      <c r="AO31" s="87"/>
      <c r="AP31" s="87"/>
      <c r="AQ31" s="87"/>
      <c r="AR31" s="90"/>
      <c r="AS31" s="90"/>
      <c r="AT31" s="90"/>
      <c r="AU31" s="90"/>
      <c r="AV31" s="90"/>
      <c r="AW31" s="89"/>
      <c r="AX31" s="87"/>
      <c r="AY31" s="87"/>
      <c r="AZ31" s="87"/>
      <c r="BA31" s="87"/>
      <c r="BB31" s="91"/>
      <c r="BC31" s="91"/>
      <c r="BD31" s="91"/>
      <c r="BE31" s="91"/>
      <c r="BF31" s="91"/>
      <c r="BG31" s="87"/>
      <c r="BH31" s="87"/>
      <c r="BI31" s="87"/>
      <c r="BJ31" s="87"/>
      <c r="BK31" s="87"/>
      <c r="BL31" s="91"/>
      <c r="BM31" s="91"/>
      <c r="BN31" s="91"/>
      <c r="BO31" s="91"/>
      <c r="BP31" s="91"/>
      <c r="BQ31" s="89"/>
      <c r="BR31" s="87"/>
      <c r="BS31" s="87"/>
      <c r="BT31" s="87"/>
      <c r="BU31" s="87"/>
      <c r="BV31" s="92"/>
      <c r="BW31" s="92"/>
      <c r="BX31" s="92"/>
      <c r="BY31" s="92"/>
      <c r="BZ31" s="92"/>
      <c r="CA31" s="87"/>
      <c r="CB31" s="87"/>
      <c r="CC31" s="87"/>
      <c r="CD31" s="87"/>
      <c r="CE31" s="87"/>
      <c r="CF31" s="92"/>
      <c r="CG31" s="92"/>
      <c r="CH31" s="92"/>
      <c r="CI31" s="92"/>
      <c r="CJ31" s="92"/>
      <c r="CK31" s="89"/>
      <c r="CL31" s="87"/>
      <c r="CM31" s="87"/>
      <c r="CN31" s="87"/>
      <c r="CO31" s="87"/>
      <c r="CP31" s="126"/>
      <c r="CQ31" s="127"/>
      <c r="CR31" s="127"/>
      <c r="CS31" s="127"/>
      <c r="CT31" s="127"/>
    </row>
    <row r="32" spans="1:353" s="82" customFormat="1" ht="19.95" customHeight="1" x14ac:dyDescent="0.3">
      <c r="B32" s="84" t="s">
        <v>88</v>
      </c>
      <c r="C32" s="93" t="s">
        <v>131</v>
      </c>
      <c r="D32" s="96" t="s">
        <v>60</v>
      </c>
      <c r="E32" s="71">
        <v>46282</v>
      </c>
      <c r="F32" s="72">
        <v>46287</v>
      </c>
      <c r="G32" s="73">
        <f t="shared" si="6"/>
        <v>4</v>
      </c>
      <c r="H32" s="85">
        <v>0</v>
      </c>
      <c r="I32" s="86"/>
      <c r="J32" s="87"/>
      <c r="K32" s="87"/>
      <c r="L32" s="87"/>
      <c r="M32" s="87"/>
      <c r="N32" s="88"/>
      <c r="O32" s="88"/>
      <c r="P32" s="88"/>
      <c r="Q32" s="88"/>
      <c r="R32" s="88"/>
      <c r="S32" s="87"/>
      <c r="T32" s="87"/>
      <c r="U32" s="87"/>
      <c r="V32" s="87"/>
      <c r="W32" s="87"/>
      <c r="X32" s="88"/>
      <c r="Y32" s="88"/>
      <c r="Z32" s="88"/>
      <c r="AA32" s="88"/>
      <c r="AB32" s="88"/>
      <c r="AC32" s="89"/>
      <c r="AD32" s="87"/>
      <c r="AE32" s="87"/>
      <c r="AF32" s="87"/>
      <c r="AG32" s="87"/>
      <c r="AH32" s="90"/>
      <c r="AI32" s="90"/>
      <c r="AJ32" s="90"/>
      <c r="AK32" s="122"/>
      <c r="AL32" s="122"/>
      <c r="AM32" s="122"/>
      <c r="AN32" s="122"/>
      <c r="AO32" s="87"/>
      <c r="AP32" s="87"/>
      <c r="AQ32" s="87"/>
      <c r="AR32" s="90"/>
      <c r="AS32" s="90"/>
      <c r="AT32" s="90"/>
      <c r="AU32" s="90"/>
      <c r="AV32" s="90"/>
      <c r="AW32" s="89"/>
      <c r="AX32" s="87"/>
      <c r="AY32" s="87"/>
      <c r="AZ32" s="87"/>
      <c r="BA32" s="87"/>
      <c r="BB32" s="91"/>
      <c r="BC32" s="91"/>
      <c r="BD32" s="91"/>
      <c r="BE32" s="91"/>
      <c r="BF32" s="91"/>
      <c r="BG32" s="87"/>
      <c r="BH32" s="87"/>
      <c r="BI32" s="87"/>
      <c r="BJ32" s="87"/>
      <c r="BK32" s="87"/>
      <c r="BL32" s="91"/>
      <c r="BM32" s="91"/>
      <c r="BN32" s="91"/>
      <c r="BO32" s="91"/>
      <c r="BP32" s="91"/>
      <c r="BQ32" s="89"/>
      <c r="BR32" s="87"/>
      <c r="BS32" s="87"/>
      <c r="BT32" s="87"/>
      <c r="BU32" s="87"/>
      <c r="BV32" s="92"/>
      <c r="BW32" s="92"/>
      <c r="BX32" s="92"/>
      <c r="BY32" s="92"/>
      <c r="BZ32" s="92"/>
      <c r="CA32" s="87"/>
      <c r="CB32" s="87"/>
      <c r="CC32" s="87"/>
      <c r="CD32" s="87"/>
      <c r="CE32" s="87"/>
      <c r="CF32" s="92"/>
      <c r="CG32" s="92"/>
      <c r="CH32" s="92"/>
      <c r="CI32" s="92"/>
      <c r="CJ32" s="92"/>
      <c r="CK32" s="89"/>
      <c r="CL32" s="87"/>
      <c r="CM32" s="87"/>
      <c r="CN32" s="87"/>
      <c r="CO32" s="87"/>
      <c r="CP32" s="126"/>
      <c r="CQ32" s="127"/>
      <c r="CR32" s="127"/>
      <c r="CS32" s="127"/>
      <c r="CT32" s="127"/>
    </row>
    <row r="33" spans="1:353" s="82" customFormat="1" ht="19.95" customHeight="1" x14ac:dyDescent="0.3">
      <c r="B33" s="84" t="s">
        <v>89</v>
      </c>
      <c r="C33" s="93" t="s">
        <v>187</v>
      </c>
      <c r="D33" s="96" t="s">
        <v>55</v>
      </c>
      <c r="E33" s="71">
        <v>46279</v>
      </c>
      <c r="F33" s="72">
        <v>46283</v>
      </c>
      <c r="G33" s="73">
        <f t="shared" si="6"/>
        <v>5</v>
      </c>
      <c r="H33" s="85">
        <v>0</v>
      </c>
      <c r="I33" s="86"/>
      <c r="J33" s="87"/>
      <c r="K33" s="87"/>
      <c r="L33" s="87"/>
      <c r="M33" s="87"/>
      <c r="N33" s="88"/>
      <c r="O33" s="88"/>
      <c r="P33" s="88"/>
      <c r="Q33" s="88"/>
      <c r="R33" s="88"/>
      <c r="S33" s="87"/>
      <c r="T33" s="87"/>
      <c r="U33" s="87"/>
      <c r="V33" s="87"/>
      <c r="W33" s="87"/>
      <c r="X33" s="88"/>
      <c r="Y33" s="88"/>
      <c r="Z33" s="88"/>
      <c r="AA33" s="88"/>
      <c r="AB33" s="88"/>
      <c r="AC33" s="89"/>
      <c r="AD33" s="87"/>
      <c r="AE33" s="87"/>
      <c r="AF33" s="87"/>
      <c r="AG33" s="87"/>
      <c r="AH33" s="122"/>
      <c r="AI33" s="122"/>
      <c r="AJ33" s="122"/>
      <c r="AK33" s="122"/>
      <c r="AL33" s="122"/>
      <c r="AM33" s="87"/>
      <c r="AN33" s="87"/>
      <c r="AO33" s="87"/>
      <c r="AP33" s="87"/>
      <c r="AQ33" s="87"/>
      <c r="AR33" s="90"/>
      <c r="AS33" s="90"/>
      <c r="AT33" s="90"/>
      <c r="AU33" s="90"/>
      <c r="AV33" s="90"/>
      <c r="AW33" s="89"/>
      <c r="AX33" s="87"/>
      <c r="AY33" s="87"/>
      <c r="AZ33" s="87"/>
      <c r="BA33" s="87"/>
      <c r="BB33" s="91"/>
      <c r="BC33" s="91"/>
      <c r="BD33" s="91"/>
      <c r="BE33" s="91"/>
      <c r="BF33" s="91"/>
      <c r="BG33" s="87"/>
      <c r="BH33" s="87"/>
      <c r="BI33" s="87"/>
      <c r="BJ33" s="87"/>
      <c r="BK33" s="87"/>
      <c r="BL33" s="91"/>
      <c r="BM33" s="91"/>
      <c r="BN33" s="91"/>
      <c r="BO33" s="91"/>
      <c r="BP33" s="91"/>
      <c r="BQ33" s="89"/>
      <c r="BR33" s="87"/>
      <c r="BS33" s="87"/>
      <c r="BT33" s="87"/>
      <c r="BU33" s="87"/>
      <c r="BV33" s="92"/>
      <c r="BW33" s="92"/>
      <c r="BX33" s="92"/>
      <c r="BY33" s="92"/>
      <c r="BZ33" s="92"/>
      <c r="CA33" s="87"/>
      <c r="CB33" s="87"/>
      <c r="CC33" s="87"/>
      <c r="CD33" s="87"/>
      <c r="CE33" s="87"/>
      <c r="CF33" s="92"/>
      <c r="CG33" s="92"/>
      <c r="CH33" s="92"/>
      <c r="CI33" s="92"/>
      <c r="CJ33" s="92"/>
      <c r="CK33" s="89"/>
      <c r="CL33" s="87"/>
      <c r="CM33" s="87"/>
      <c r="CN33" s="87"/>
      <c r="CO33" s="87"/>
      <c r="CP33" s="126"/>
      <c r="CQ33" s="127"/>
      <c r="CR33" s="127"/>
      <c r="CS33" s="127"/>
      <c r="CT33" s="127"/>
    </row>
    <row r="34" spans="1:353" s="82" customFormat="1" ht="19.95" customHeight="1" x14ac:dyDescent="0.3">
      <c r="B34" s="84" t="s">
        <v>90</v>
      </c>
      <c r="C34" s="93" t="s">
        <v>195</v>
      </c>
      <c r="D34" s="96" t="s">
        <v>55</v>
      </c>
      <c r="E34" s="71">
        <v>46286</v>
      </c>
      <c r="F34" s="72">
        <v>46289</v>
      </c>
      <c r="G34" s="73">
        <f t="shared" si="6"/>
        <v>4</v>
      </c>
      <c r="H34" s="85">
        <v>0</v>
      </c>
      <c r="I34" s="86"/>
      <c r="J34" s="87"/>
      <c r="K34" s="87"/>
      <c r="L34" s="87"/>
      <c r="M34" s="87"/>
      <c r="N34" s="88"/>
      <c r="O34" s="88"/>
      <c r="P34" s="88"/>
      <c r="Q34" s="88"/>
      <c r="R34" s="88"/>
      <c r="S34" s="87"/>
      <c r="T34" s="87"/>
      <c r="U34" s="87"/>
      <c r="V34" s="87"/>
      <c r="W34" s="87"/>
      <c r="X34" s="88"/>
      <c r="Y34" s="88"/>
      <c r="Z34" s="88"/>
      <c r="AA34" s="88"/>
      <c r="AB34" s="88"/>
      <c r="AC34" s="89"/>
      <c r="AD34" s="87"/>
      <c r="AE34" s="87"/>
      <c r="AF34" s="87"/>
      <c r="AG34" s="87"/>
      <c r="AH34" s="90"/>
      <c r="AI34" s="90"/>
      <c r="AJ34" s="90"/>
      <c r="AK34" s="90"/>
      <c r="AL34" s="90"/>
      <c r="AM34" s="122"/>
      <c r="AN34" s="122"/>
      <c r="AO34" s="122"/>
      <c r="AP34" s="122"/>
      <c r="AQ34" s="87"/>
      <c r="AR34" s="90"/>
      <c r="AS34" s="90"/>
      <c r="AT34" s="90"/>
      <c r="AU34" s="90"/>
      <c r="AV34" s="90"/>
      <c r="AW34" s="89"/>
      <c r="AX34" s="87"/>
      <c r="AY34" s="87"/>
      <c r="AZ34" s="87"/>
      <c r="BA34" s="87"/>
      <c r="BB34" s="91"/>
      <c r="BC34" s="91"/>
      <c r="BD34" s="91"/>
      <c r="BE34" s="91"/>
      <c r="BF34" s="91"/>
      <c r="BG34" s="87"/>
      <c r="BH34" s="87"/>
      <c r="BI34" s="87"/>
      <c r="BJ34" s="87"/>
      <c r="BK34" s="87"/>
      <c r="BL34" s="91"/>
      <c r="BM34" s="91"/>
      <c r="BN34" s="91"/>
      <c r="BO34" s="91"/>
      <c r="BP34" s="91"/>
      <c r="BQ34" s="89"/>
      <c r="BR34" s="87"/>
      <c r="BS34" s="87"/>
      <c r="BT34" s="87"/>
      <c r="BU34" s="87"/>
      <c r="BV34" s="92"/>
      <c r="BW34" s="92"/>
      <c r="BX34" s="92"/>
      <c r="BY34" s="92"/>
      <c r="BZ34" s="92"/>
      <c r="CA34" s="87"/>
      <c r="CB34" s="87"/>
      <c r="CC34" s="87"/>
      <c r="CD34" s="87"/>
      <c r="CE34" s="87"/>
      <c r="CF34" s="92"/>
      <c r="CG34" s="92"/>
      <c r="CH34" s="92"/>
      <c r="CI34" s="92"/>
      <c r="CJ34" s="92"/>
      <c r="CK34" s="89"/>
      <c r="CL34" s="87"/>
      <c r="CM34" s="87"/>
      <c r="CN34" s="87"/>
      <c r="CO34" s="87"/>
      <c r="CP34" s="126"/>
      <c r="CQ34" s="127"/>
      <c r="CR34" s="127"/>
      <c r="CS34" s="127"/>
      <c r="CT34" s="127"/>
    </row>
    <row r="35" spans="1:353" s="82" customFormat="1" ht="19.95" customHeight="1" x14ac:dyDescent="0.3">
      <c r="B35" s="84" t="s">
        <v>91</v>
      </c>
      <c r="C35" s="93" t="s">
        <v>132</v>
      </c>
      <c r="D35" s="96" t="s">
        <v>61</v>
      </c>
      <c r="E35" s="71">
        <v>46290</v>
      </c>
      <c r="F35" s="72">
        <v>46290</v>
      </c>
      <c r="G35" s="73">
        <f t="shared" si="6"/>
        <v>1</v>
      </c>
      <c r="H35" s="85">
        <v>0</v>
      </c>
      <c r="I35" s="86"/>
      <c r="J35" s="87"/>
      <c r="K35" s="87"/>
      <c r="L35" s="87"/>
      <c r="M35" s="87"/>
      <c r="N35" s="88"/>
      <c r="O35" s="88"/>
      <c r="P35" s="88"/>
      <c r="Q35" s="88"/>
      <c r="R35" s="88"/>
      <c r="S35" s="87"/>
      <c r="T35" s="87"/>
      <c r="U35" s="87"/>
      <c r="V35" s="87"/>
      <c r="W35" s="87"/>
      <c r="X35" s="88"/>
      <c r="Y35" s="88"/>
      <c r="Z35" s="88"/>
      <c r="AA35" s="88"/>
      <c r="AB35" s="88"/>
      <c r="AC35" s="89"/>
      <c r="AD35" s="87"/>
      <c r="AE35" s="87"/>
      <c r="AF35" s="87"/>
      <c r="AG35" s="87"/>
      <c r="AH35" s="90"/>
      <c r="AI35" s="90"/>
      <c r="AJ35" s="90"/>
      <c r="AK35" s="90"/>
      <c r="AL35" s="90"/>
      <c r="AM35" s="87"/>
      <c r="AN35" s="87"/>
      <c r="AO35" s="87"/>
      <c r="AP35" s="87"/>
      <c r="AQ35" s="122"/>
      <c r="AR35" s="90"/>
      <c r="AS35" s="90"/>
      <c r="AT35" s="90"/>
      <c r="AU35" s="90"/>
      <c r="AV35" s="90"/>
      <c r="AW35" s="89"/>
      <c r="AX35" s="87"/>
      <c r="AY35" s="87"/>
      <c r="AZ35" s="87"/>
      <c r="BA35" s="87"/>
      <c r="BB35" s="91"/>
      <c r="BC35" s="91"/>
      <c r="BD35" s="91"/>
      <c r="BE35" s="91"/>
      <c r="BF35" s="91"/>
      <c r="BG35" s="87"/>
      <c r="BH35" s="87"/>
      <c r="BI35" s="87"/>
      <c r="BJ35" s="87"/>
      <c r="BK35" s="87"/>
      <c r="BL35" s="91"/>
      <c r="BM35" s="91"/>
      <c r="BN35" s="91"/>
      <c r="BO35" s="91"/>
      <c r="BP35" s="91"/>
      <c r="BQ35" s="89"/>
      <c r="BR35" s="87"/>
      <c r="BS35" s="87"/>
      <c r="BT35" s="87"/>
      <c r="BU35" s="87"/>
      <c r="BV35" s="92"/>
      <c r="BW35" s="92"/>
      <c r="BX35" s="92"/>
      <c r="BY35" s="92"/>
      <c r="BZ35" s="92"/>
      <c r="CA35" s="87"/>
      <c r="CB35" s="87"/>
      <c r="CC35" s="87"/>
      <c r="CD35" s="87"/>
      <c r="CE35" s="87"/>
      <c r="CF35" s="92"/>
      <c r="CG35" s="92"/>
      <c r="CH35" s="92"/>
      <c r="CI35" s="92"/>
      <c r="CJ35" s="92"/>
      <c r="CK35" s="89"/>
      <c r="CL35" s="87"/>
      <c r="CM35" s="87"/>
      <c r="CN35" s="87"/>
      <c r="CO35" s="87"/>
      <c r="CP35" s="126"/>
      <c r="CQ35" s="127"/>
      <c r="CR35" s="127"/>
      <c r="CS35" s="127"/>
      <c r="CT35" s="127"/>
    </row>
    <row r="36" spans="1:353" s="83" customFormat="1" ht="19.95" customHeight="1" x14ac:dyDescent="0.3">
      <c r="A36" s="82"/>
      <c r="B36" s="107" t="s">
        <v>26</v>
      </c>
      <c r="C36" s="108" t="s">
        <v>133</v>
      </c>
      <c r="D36" s="109"/>
      <c r="E36" s="109"/>
      <c r="F36" s="109"/>
      <c r="G36" s="111" t="str">
        <f t="shared" si="4"/>
        <v/>
      </c>
      <c r="H36" s="113"/>
      <c r="I36" s="114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115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115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115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115"/>
      <c r="CL36" s="92"/>
      <c r="CM36" s="92"/>
      <c r="CN36" s="92"/>
      <c r="CO36" s="92"/>
      <c r="CP36" s="115"/>
      <c r="CQ36" s="92"/>
      <c r="CR36" s="92"/>
      <c r="CS36" s="92"/>
      <c r="CT36" s="9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82"/>
      <c r="DT36" s="82"/>
      <c r="DU36" s="82"/>
      <c r="DV36" s="82"/>
      <c r="DW36" s="82"/>
      <c r="DX36" s="82"/>
      <c r="DY36" s="82"/>
      <c r="DZ36" s="82"/>
      <c r="EA36" s="82"/>
      <c r="EB36" s="82"/>
      <c r="EC36" s="82"/>
      <c r="ED36" s="82"/>
      <c r="EE36" s="82"/>
      <c r="EF36" s="82"/>
      <c r="EG36" s="82"/>
      <c r="EH36" s="82"/>
      <c r="EI36" s="82"/>
      <c r="EJ36" s="82"/>
      <c r="EK36" s="82"/>
      <c r="EL36" s="82"/>
      <c r="EM36" s="82"/>
      <c r="EN36" s="82"/>
      <c r="EO36" s="82"/>
      <c r="EP36" s="82"/>
      <c r="EQ36" s="82"/>
      <c r="ER36" s="82"/>
      <c r="ES36" s="82"/>
      <c r="ET36" s="82"/>
      <c r="EU36" s="82"/>
      <c r="EV36" s="82"/>
      <c r="EW36" s="82"/>
      <c r="EX36" s="82"/>
      <c r="EY36" s="82"/>
      <c r="EZ36" s="82"/>
      <c r="FA36" s="82"/>
      <c r="FB36" s="82"/>
      <c r="FC36" s="82"/>
      <c r="FD36" s="82"/>
      <c r="FE36" s="82"/>
      <c r="FF36" s="82"/>
      <c r="FG36" s="82"/>
      <c r="FH36" s="82"/>
      <c r="FI36" s="82"/>
      <c r="FJ36" s="82"/>
      <c r="FK36" s="82"/>
      <c r="FL36" s="82"/>
      <c r="FM36" s="82"/>
      <c r="FN36" s="82"/>
      <c r="FO36" s="82"/>
      <c r="FP36" s="82"/>
      <c r="FQ36" s="82"/>
      <c r="FR36" s="82"/>
      <c r="FS36" s="82"/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  <c r="GG36" s="82"/>
      <c r="GH36" s="82"/>
      <c r="GI36" s="82"/>
      <c r="GJ36" s="82"/>
      <c r="GK36" s="82"/>
      <c r="GL36" s="82"/>
      <c r="GM36" s="82"/>
      <c r="GN36" s="82"/>
      <c r="GO36" s="82"/>
      <c r="GP36" s="82"/>
      <c r="GQ36" s="82"/>
      <c r="GR36" s="82"/>
      <c r="GS36" s="82"/>
      <c r="GT36" s="82"/>
      <c r="GU36" s="82"/>
      <c r="GV36" s="82"/>
      <c r="GW36" s="82"/>
      <c r="GX36" s="82"/>
      <c r="GY36" s="82"/>
      <c r="GZ36" s="82"/>
      <c r="HA36" s="82"/>
      <c r="HB36" s="82"/>
      <c r="HC36" s="82"/>
      <c r="HD36" s="82"/>
      <c r="HE36" s="82"/>
      <c r="HF36" s="82"/>
      <c r="HG36" s="82"/>
      <c r="HH36" s="82"/>
      <c r="HI36" s="82"/>
      <c r="HJ36" s="82"/>
      <c r="HK36" s="82"/>
      <c r="HL36" s="82"/>
      <c r="HM36" s="82"/>
      <c r="HN36" s="82"/>
      <c r="HO36" s="82"/>
      <c r="HP36" s="82"/>
      <c r="HQ36" s="82"/>
      <c r="HR36" s="82"/>
      <c r="HS36" s="82"/>
      <c r="HT36" s="82"/>
      <c r="HU36" s="82"/>
      <c r="HV36" s="82"/>
      <c r="HW36" s="82"/>
      <c r="HX36" s="82"/>
      <c r="HY36" s="82"/>
      <c r="HZ36" s="82"/>
      <c r="IA36" s="82"/>
      <c r="IB36" s="82"/>
      <c r="IC36" s="82"/>
      <c r="ID36" s="82"/>
      <c r="IE36" s="82"/>
      <c r="IF36" s="82"/>
      <c r="IG36" s="82"/>
      <c r="IH36" s="82"/>
      <c r="II36" s="82"/>
      <c r="IJ36" s="82"/>
      <c r="IK36" s="82"/>
      <c r="IL36" s="82"/>
      <c r="IM36" s="82"/>
      <c r="IN36" s="82"/>
      <c r="IO36" s="82"/>
      <c r="IP36" s="82"/>
      <c r="IQ36" s="82"/>
      <c r="IR36" s="82"/>
      <c r="IS36" s="82"/>
      <c r="IT36" s="82"/>
      <c r="IU36" s="82"/>
      <c r="IV36" s="82"/>
      <c r="IW36" s="82"/>
      <c r="IX36" s="82"/>
      <c r="IY36" s="82"/>
      <c r="IZ36" s="82"/>
      <c r="JA36" s="82"/>
      <c r="JB36" s="82"/>
      <c r="JC36" s="82"/>
      <c r="JD36" s="82"/>
      <c r="JE36" s="82"/>
      <c r="JF36" s="82"/>
      <c r="JG36" s="82"/>
      <c r="JH36" s="82"/>
      <c r="JI36" s="82"/>
      <c r="JJ36" s="82"/>
      <c r="JK36" s="82"/>
      <c r="JL36" s="82"/>
      <c r="JM36" s="82"/>
      <c r="JN36" s="82"/>
      <c r="JO36" s="82"/>
      <c r="JP36" s="82"/>
      <c r="JQ36" s="82"/>
      <c r="JR36" s="82"/>
      <c r="JS36" s="82"/>
      <c r="JT36" s="82"/>
      <c r="JU36" s="82"/>
      <c r="JV36" s="82"/>
      <c r="JW36" s="82"/>
      <c r="JX36" s="82"/>
      <c r="JY36" s="82"/>
      <c r="JZ36" s="82"/>
      <c r="KA36" s="82"/>
      <c r="KB36" s="82"/>
      <c r="KC36" s="82"/>
      <c r="KD36" s="82"/>
      <c r="KE36" s="82"/>
      <c r="KF36" s="82"/>
      <c r="KG36" s="82"/>
      <c r="KH36" s="82"/>
      <c r="KI36" s="82"/>
      <c r="KJ36" s="82"/>
      <c r="KK36" s="82"/>
      <c r="KL36" s="82"/>
      <c r="KM36" s="82"/>
      <c r="KN36" s="82"/>
      <c r="KO36" s="82"/>
      <c r="KP36" s="82"/>
      <c r="KQ36" s="82"/>
      <c r="KR36" s="82"/>
      <c r="KS36" s="82"/>
      <c r="KT36" s="82"/>
      <c r="KU36" s="82"/>
      <c r="KV36" s="82"/>
      <c r="KW36" s="82"/>
      <c r="KX36" s="82"/>
      <c r="KY36" s="82"/>
      <c r="KZ36" s="82"/>
      <c r="LA36" s="82"/>
      <c r="LB36" s="82"/>
      <c r="LC36" s="82"/>
      <c r="LD36" s="82"/>
      <c r="LE36" s="82"/>
      <c r="LF36" s="82"/>
      <c r="LG36" s="82"/>
      <c r="LH36" s="82"/>
      <c r="LI36" s="82"/>
      <c r="LJ36" s="82"/>
      <c r="LK36" s="82"/>
      <c r="LL36" s="82"/>
      <c r="LM36" s="82"/>
      <c r="LN36" s="82"/>
      <c r="LO36" s="82"/>
      <c r="LP36" s="82"/>
      <c r="LQ36" s="82"/>
      <c r="LR36" s="82"/>
      <c r="LS36" s="82"/>
      <c r="LT36" s="82"/>
      <c r="LU36" s="82"/>
      <c r="LV36" s="82"/>
      <c r="LW36" s="82"/>
      <c r="LX36" s="82"/>
      <c r="LY36" s="82"/>
      <c r="LZ36" s="82"/>
      <c r="MA36" s="82"/>
      <c r="MB36" s="82"/>
      <c r="MC36" s="82"/>
      <c r="MD36" s="82"/>
      <c r="ME36" s="82"/>
      <c r="MF36" s="82"/>
      <c r="MG36" s="82"/>
      <c r="MH36" s="82"/>
      <c r="MI36" s="82"/>
      <c r="MJ36" s="82"/>
      <c r="MK36" s="82"/>
      <c r="ML36" s="82"/>
      <c r="MM36" s="82"/>
      <c r="MN36" s="82"/>
      <c r="MO36" s="82"/>
    </row>
    <row r="37" spans="1:353" s="82" customFormat="1" ht="19.95" customHeight="1" x14ac:dyDescent="0.3">
      <c r="B37" s="84" t="s">
        <v>92</v>
      </c>
      <c r="C37" s="93" t="s">
        <v>134</v>
      </c>
      <c r="D37" s="96" t="s">
        <v>55</v>
      </c>
      <c r="E37" s="71">
        <v>46293</v>
      </c>
      <c r="F37" s="72">
        <v>46294</v>
      </c>
      <c r="G37" s="73">
        <f t="shared" ref="G37:G43" si="7">IF(OR(E37="",F37=""),"",NETWORKDAYS(E37,F37))</f>
        <v>2</v>
      </c>
      <c r="H37" s="85">
        <v>0</v>
      </c>
      <c r="I37" s="86"/>
      <c r="J37" s="87"/>
      <c r="K37" s="87"/>
      <c r="L37" s="87"/>
      <c r="M37" s="87"/>
      <c r="N37" s="88"/>
      <c r="O37" s="88"/>
      <c r="P37" s="88"/>
      <c r="Q37" s="88"/>
      <c r="R37" s="88"/>
      <c r="S37" s="87"/>
      <c r="T37" s="87"/>
      <c r="U37" s="87"/>
      <c r="V37" s="87"/>
      <c r="W37" s="87"/>
      <c r="X37" s="88"/>
      <c r="Y37" s="88"/>
      <c r="Z37" s="88"/>
      <c r="AA37" s="88"/>
      <c r="AB37" s="88"/>
      <c r="AC37" s="89"/>
      <c r="AD37" s="87"/>
      <c r="AE37" s="87"/>
      <c r="AF37" s="87"/>
      <c r="AG37" s="87"/>
      <c r="AH37" s="90"/>
      <c r="AI37" s="90"/>
      <c r="AJ37" s="90"/>
      <c r="AK37" s="90"/>
      <c r="AL37" s="90"/>
      <c r="AM37" s="87"/>
      <c r="AN37" s="87"/>
      <c r="AO37" s="87"/>
      <c r="AP37" s="87"/>
      <c r="AQ37" s="87"/>
      <c r="AR37" s="122"/>
      <c r="AS37" s="122"/>
      <c r="AT37" s="90"/>
      <c r="AU37" s="90"/>
      <c r="AV37" s="90"/>
      <c r="AW37" s="87"/>
      <c r="AX37" s="87"/>
      <c r="AY37" s="87"/>
      <c r="AZ37" s="87"/>
      <c r="BA37" s="87"/>
      <c r="BB37" s="91"/>
      <c r="BC37" s="91"/>
      <c r="BD37" s="91"/>
      <c r="BE37" s="91"/>
      <c r="BF37" s="91"/>
      <c r="BG37" s="87"/>
      <c r="BH37" s="87"/>
      <c r="BI37" s="87"/>
      <c r="BJ37" s="87"/>
      <c r="BK37" s="87"/>
      <c r="BL37" s="91"/>
      <c r="BM37" s="91"/>
      <c r="BN37" s="91"/>
      <c r="BO37" s="91"/>
      <c r="BP37" s="91"/>
      <c r="BQ37" s="89"/>
      <c r="BR37" s="87"/>
      <c r="BS37" s="87"/>
      <c r="BT37" s="87"/>
      <c r="BU37" s="87"/>
      <c r="BV37" s="92"/>
      <c r="BW37" s="92"/>
      <c r="BX37" s="92"/>
      <c r="BY37" s="92"/>
      <c r="BZ37" s="92"/>
      <c r="CA37" s="87"/>
      <c r="CB37" s="87"/>
      <c r="CC37" s="87"/>
      <c r="CD37" s="87"/>
      <c r="CE37" s="87"/>
      <c r="CF37" s="92"/>
      <c r="CG37" s="92"/>
      <c r="CH37" s="92"/>
      <c r="CI37" s="92"/>
      <c r="CJ37" s="92"/>
      <c r="CK37" s="89"/>
      <c r="CL37" s="87"/>
      <c r="CM37" s="87"/>
      <c r="CN37" s="87"/>
      <c r="CO37" s="87"/>
      <c r="CP37" s="126"/>
      <c r="CQ37" s="127"/>
      <c r="CR37" s="127"/>
      <c r="CS37" s="127"/>
      <c r="CT37" s="127"/>
    </row>
    <row r="38" spans="1:353" s="82" customFormat="1" ht="19.95" customHeight="1" x14ac:dyDescent="0.3">
      <c r="B38" s="84" t="s">
        <v>93</v>
      </c>
      <c r="C38" s="93" t="s">
        <v>135</v>
      </c>
      <c r="D38" s="96" t="s">
        <v>55</v>
      </c>
      <c r="E38" s="71">
        <v>46295</v>
      </c>
      <c r="F38" s="72">
        <v>46297</v>
      </c>
      <c r="G38" s="73">
        <f t="shared" si="7"/>
        <v>3</v>
      </c>
      <c r="H38" s="85">
        <v>0</v>
      </c>
      <c r="I38" s="86"/>
      <c r="J38" s="87"/>
      <c r="K38" s="87"/>
      <c r="L38" s="87"/>
      <c r="M38" s="87"/>
      <c r="N38" s="88"/>
      <c r="O38" s="88"/>
      <c r="P38" s="88"/>
      <c r="Q38" s="88"/>
      <c r="R38" s="88"/>
      <c r="S38" s="87"/>
      <c r="T38" s="87"/>
      <c r="U38" s="87"/>
      <c r="V38" s="87"/>
      <c r="W38" s="87"/>
      <c r="X38" s="88"/>
      <c r="Y38" s="88"/>
      <c r="Z38" s="88"/>
      <c r="AA38" s="88"/>
      <c r="AB38" s="88"/>
      <c r="AC38" s="89"/>
      <c r="AD38" s="87"/>
      <c r="AE38" s="87"/>
      <c r="AF38" s="87"/>
      <c r="AG38" s="87"/>
      <c r="AH38" s="90"/>
      <c r="AI38" s="90"/>
      <c r="AJ38" s="90"/>
      <c r="AK38" s="90"/>
      <c r="AL38" s="90"/>
      <c r="AM38" s="87"/>
      <c r="AN38" s="87"/>
      <c r="AO38" s="87"/>
      <c r="AP38" s="87"/>
      <c r="AQ38" s="87"/>
      <c r="AR38" s="90"/>
      <c r="AS38" s="90"/>
      <c r="AT38" s="122"/>
      <c r="AU38" s="122"/>
      <c r="AV38" s="122"/>
      <c r="AW38" s="87"/>
      <c r="AX38" s="87"/>
      <c r="AY38" s="87"/>
      <c r="AZ38" s="87"/>
      <c r="BA38" s="87"/>
      <c r="BB38" s="91"/>
      <c r="BC38" s="91"/>
      <c r="BD38" s="91"/>
      <c r="BE38" s="91"/>
      <c r="BF38" s="91"/>
      <c r="BG38" s="87"/>
      <c r="BH38" s="87"/>
      <c r="BI38" s="87"/>
      <c r="BJ38" s="87"/>
      <c r="BK38" s="87"/>
      <c r="BL38" s="91"/>
      <c r="BM38" s="91"/>
      <c r="BN38" s="91"/>
      <c r="BO38" s="91"/>
      <c r="BP38" s="91"/>
      <c r="BQ38" s="89"/>
      <c r="BR38" s="87"/>
      <c r="BS38" s="87"/>
      <c r="BT38" s="87"/>
      <c r="BU38" s="87"/>
      <c r="BV38" s="92"/>
      <c r="BW38" s="92"/>
      <c r="BX38" s="92"/>
      <c r="BY38" s="92"/>
      <c r="BZ38" s="92"/>
      <c r="CA38" s="87"/>
      <c r="CB38" s="87"/>
      <c r="CC38" s="87"/>
      <c r="CD38" s="87"/>
      <c r="CE38" s="87"/>
      <c r="CF38" s="92"/>
      <c r="CG38" s="92"/>
      <c r="CH38" s="92"/>
      <c r="CI38" s="92"/>
      <c r="CJ38" s="92"/>
      <c r="CK38" s="89"/>
      <c r="CL38" s="87"/>
      <c r="CM38" s="87"/>
      <c r="CN38" s="87"/>
      <c r="CO38" s="87"/>
      <c r="CP38" s="126"/>
      <c r="CQ38" s="127"/>
      <c r="CR38" s="127"/>
      <c r="CS38" s="127"/>
      <c r="CT38" s="127"/>
    </row>
    <row r="39" spans="1:353" s="82" customFormat="1" ht="19.95" customHeight="1" x14ac:dyDescent="0.3">
      <c r="B39" s="84" t="s">
        <v>94</v>
      </c>
      <c r="C39" s="93" t="s">
        <v>136</v>
      </c>
      <c r="D39" s="96" t="s">
        <v>60</v>
      </c>
      <c r="E39" s="71">
        <v>46300</v>
      </c>
      <c r="F39" s="72">
        <v>46302</v>
      </c>
      <c r="G39" s="73">
        <f t="shared" si="7"/>
        <v>3</v>
      </c>
      <c r="H39" s="85">
        <v>0</v>
      </c>
      <c r="I39" s="86"/>
      <c r="J39" s="87"/>
      <c r="K39" s="87"/>
      <c r="L39" s="87"/>
      <c r="M39" s="87"/>
      <c r="N39" s="88"/>
      <c r="O39" s="88"/>
      <c r="P39" s="88"/>
      <c r="Q39" s="88"/>
      <c r="R39" s="88"/>
      <c r="S39" s="87"/>
      <c r="T39" s="87"/>
      <c r="U39" s="87"/>
      <c r="V39" s="87"/>
      <c r="W39" s="87"/>
      <c r="X39" s="88"/>
      <c r="Y39" s="88"/>
      <c r="Z39" s="88"/>
      <c r="AA39" s="88"/>
      <c r="AB39" s="88"/>
      <c r="AC39" s="89"/>
      <c r="AD39" s="87"/>
      <c r="AE39" s="87"/>
      <c r="AF39" s="87"/>
      <c r="AG39" s="87"/>
      <c r="AH39" s="90"/>
      <c r="AI39" s="90"/>
      <c r="AJ39" s="90"/>
      <c r="AK39" s="90"/>
      <c r="AL39" s="90"/>
      <c r="AM39" s="87"/>
      <c r="AN39" s="87"/>
      <c r="AO39" s="87"/>
      <c r="AP39" s="87"/>
      <c r="AQ39" s="87"/>
      <c r="AR39" s="90"/>
      <c r="AS39" s="90"/>
      <c r="AT39" s="90"/>
      <c r="AU39" s="90"/>
      <c r="AV39" s="90"/>
      <c r="AW39" s="122"/>
      <c r="AX39" s="122"/>
      <c r="AY39" s="122"/>
      <c r="AZ39" s="87"/>
      <c r="BA39" s="87"/>
      <c r="BB39" s="91"/>
      <c r="BC39" s="91"/>
      <c r="BD39" s="91"/>
      <c r="BE39" s="91"/>
      <c r="BF39" s="91"/>
      <c r="BG39" s="87"/>
      <c r="BH39" s="87"/>
      <c r="BI39" s="87"/>
      <c r="BJ39" s="87"/>
      <c r="BK39" s="87"/>
      <c r="BL39" s="91"/>
      <c r="BM39" s="91"/>
      <c r="BN39" s="91"/>
      <c r="BO39" s="91"/>
      <c r="BP39" s="91"/>
      <c r="BQ39" s="89"/>
      <c r="BR39" s="87"/>
      <c r="BS39" s="87"/>
      <c r="BT39" s="87"/>
      <c r="BU39" s="87"/>
      <c r="BV39" s="92"/>
      <c r="BW39" s="92"/>
      <c r="BX39" s="92"/>
      <c r="BY39" s="92"/>
      <c r="BZ39" s="92"/>
      <c r="CA39" s="87"/>
      <c r="CB39" s="87"/>
      <c r="CC39" s="87"/>
      <c r="CD39" s="87"/>
      <c r="CE39" s="87"/>
      <c r="CF39" s="92"/>
      <c r="CG39" s="92"/>
      <c r="CH39" s="92"/>
      <c r="CI39" s="92"/>
      <c r="CJ39" s="92"/>
      <c r="CK39" s="89"/>
      <c r="CL39" s="87"/>
      <c r="CM39" s="87"/>
      <c r="CN39" s="87"/>
      <c r="CO39" s="87"/>
      <c r="CP39" s="126"/>
      <c r="CQ39" s="127"/>
      <c r="CR39" s="127"/>
      <c r="CS39" s="127"/>
      <c r="CT39" s="127"/>
    </row>
    <row r="40" spans="1:353" s="82" customFormat="1" ht="19.95" customHeight="1" x14ac:dyDescent="0.3">
      <c r="B40" s="84" t="s">
        <v>95</v>
      </c>
      <c r="C40" s="93" t="s">
        <v>137</v>
      </c>
      <c r="D40" s="96" t="s">
        <v>60</v>
      </c>
      <c r="E40" s="71">
        <v>46293</v>
      </c>
      <c r="F40" s="72">
        <v>46297</v>
      </c>
      <c r="G40" s="73">
        <f t="shared" si="7"/>
        <v>5</v>
      </c>
      <c r="H40" s="85">
        <v>0</v>
      </c>
      <c r="I40" s="86"/>
      <c r="J40" s="87"/>
      <c r="K40" s="87"/>
      <c r="L40" s="87"/>
      <c r="M40" s="87"/>
      <c r="N40" s="88"/>
      <c r="O40" s="88"/>
      <c r="P40" s="88"/>
      <c r="Q40" s="88"/>
      <c r="R40" s="88"/>
      <c r="S40" s="87"/>
      <c r="T40" s="87"/>
      <c r="U40" s="87"/>
      <c r="V40" s="87"/>
      <c r="W40" s="87"/>
      <c r="X40" s="88"/>
      <c r="Y40" s="88"/>
      <c r="Z40" s="88"/>
      <c r="AA40" s="88"/>
      <c r="AB40" s="88"/>
      <c r="AC40" s="89"/>
      <c r="AD40" s="87"/>
      <c r="AE40" s="87"/>
      <c r="AF40" s="87"/>
      <c r="AG40" s="87"/>
      <c r="AH40" s="90"/>
      <c r="AI40" s="90"/>
      <c r="AJ40" s="90"/>
      <c r="AK40" s="90"/>
      <c r="AL40" s="90"/>
      <c r="AM40" s="87"/>
      <c r="AN40" s="87"/>
      <c r="AO40" s="87"/>
      <c r="AP40" s="87"/>
      <c r="AQ40" s="87"/>
      <c r="AR40" s="122"/>
      <c r="AS40" s="122"/>
      <c r="AT40" s="122"/>
      <c r="AU40" s="122"/>
      <c r="AV40" s="122"/>
      <c r="AW40" s="87"/>
      <c r="AX40" s="87"/>
      <c r="AY40" s="87"/>
      <c r="AZ40" s="87"/>
      <c r="BA40" s="87"/>
      <c r="BB40" s="91"/>
      <c r="BC40" s="91"/>
      <c r="BD40" s="91"/>
      <c r="BE40" s="91"/>
      <c r="BF40" s="91"/>
      <c r="BG40" s="87"/>
      <c r="BH40" s="87"/>
      <c r="BI40" s="87"/>
      <c r="BJ40" s="87"/>
      <c r="BK40" s="87"/>
      <c r="BL40" s="91"/>
      <c r="BM40" s="91"/>
      <c r="BN40" s="91"/>
      <c r="BO40" s="91"/>
      <c r="BP40" s="91"/>
      <c r="BQ40" s="89"/>
      <c r="BR40" s="87"/>
      <c r="BS40" s="87"/>
      <c r="BT40" s="87"/>
      <c r="BU40" s="87"/>
      <c r="BV40" s="92"/>
      <c r="BW40" s="92"/>
      <c r="BX40" s="92"/>
      <c r="BY40" s="92"/>
      <c r="BZ40" s="92"/>
      <c r="CA40" s="87"/>
      <c r="CB40" s="87"/>
      <c r="CC40" s="87"/>
      <c r="CD40" s="87"/>
      <c r="CE40" s="87"/>
      <c r="CF40" s="92"/>
      <c r="CG40" s="92"/>
      <c r="CH40" s="92"/>
      <c r="CI40" s="92"/>
      <c r="CJ40" s="92"/>
      <c r="CK40" s="89"/>
      <c r="CL40" s="87"/>
      <c r="CM40" s="87"/>
      <c r="CN40" s="87"/>
      <c r="CO40" s="87"/>
      <c r="CP40" s="126"/>
      <c r="CQ40" s="127"/>
      <c r="CR40" s="127"/>
      <c r="CS40" s="127"/>
      <c r="CT40" s="127"/>
    </row>
    <row r="41" spans="1:353" s="82" customFormat="1" ht="19.95" customHeight="1" x14ac:dyDescent="0.3">
      <c r="B41" s="84" t="s">
        <v>96</v>
      </c>
      <c r="C41" s="93" t="s">
        <v>138</v>
      </c>
      <c r="D41" s="96" t="s">
        <v>60</v>
      </c>
      <c r="E41" s="71">
        <v>46303</v>
      </c>
      <c r="F41" s="72">
        <v>46304</v>
      </c>
      <c r="G41" s="73">
        <f t="shared" si="7"/>
        <v>2</v>
      </c>
      <c r="H41" s="85">
        <v>0</v>
      </c>
      <c r="I41" s="86"/>
      <c r="J41" s="87"/>
      <c r="K41" s="87"/>
      <c r="L41" s="87"/>
      <c r="M41" s="87"/>
      <c r="N41" s="88"/>
      <c r="O41" s="88"/>
      <c r="P41" s="88"/>
      <c r="Q41" s="88"/>
      <c r="R41" s="88"/>
      <c r="S41" s="87"/>
      <c r="T41" s="87"/>
      <c r="U41" s="87"/>
      <c r="V41" s="87"/>
      <c r="W41" s="87"/>
      <c r="X41" s="88"/>
      <c r="Y41" s="88"/>
      <c r="Z41" s="88"/>
      <c r="AA41" s="88"/>
      <c r="AB41" s="88"/>
      <c r="AC41" s="89"/>
      <c r="AD41" s="87"/>
      <c r="AE41" s="87"/>
      <c r="AF41" s="87"/>
      <c r="AG41" s="87"/>
      <c r="AH41" s="90"/>
      <c r="AI41" s="90"/>
      <c r="AJ41" s="90"/>
      <c r="AK41" s="90"/>
      <c r="AL41" s="90"/>
      <c r="AM41" s="87"/>
      <c r="AN41" s="87"/>
      <c r="AO41" s="87"/>
      <c r="AP41" s="87"/>
      <c r="AQ41" s="87"/>
      <c r="AR41" s="90"/>
      <c r="AS41" s="90"/>
      <c r="AT41" s="90"/>
      <c r="AU41" s="90"/>
      <c r="AV41" s="90"/>
      <c r="AW41" s="87"/>
      <c r="AX41" s="87"/>
      <c r="AY41" s="87"/>
      <c r="AZ41" s="122"/>
      <c r="BA41" s="122"/>
      <c r="BB41" s="91"/>
      <c r="BC41" s="91"/>
      <c r="BD41" s="91"/>
      <c r="BE41" s="91"/>
      <c r="BF41" s="91"/>
      <c r="BG41" s="87"/>
      <c r="BH41" s="87"/>
      <c r="BI41" s="87"/>
      <c r="BJ41" s="87"/>
      <c r="BK41" s="87"/>
      <c r="BL41" s="91"/>
      <c r="BM41" s="91"/>
      <c r="BN41" s="91"/>
      <c r="BO41" s="91"/>
      <c r="BP41" s="91"/>
      <c r="BQ41" s="89"/>
      <c r="BR41" s="87"/>
      <c r="BS41" s="87"/>
      <c r="BT41" s="87"/>
      <c r="BU41" s="87"/>
      <c r="BV41" s="92"/>
      <c r="BW41" s="92"/>
      <c r="BX41" s="92"/>
      <c r="BY41" s="92"/>
      <c r="BZ41" s="92"/>
      <c r="CA41" s="87"/>
      <c r="CB41" s="87"/>
      <c r="CC41" s="87"/>
      <c r="CD41" s="87"/>
      <c r="CE41" s="87"/>
      <c r="CF41" s="92"/>
      <c r="CG41" s="92"/>
      <c r="CH41" s="92"/>
      <c r="CI41" s="92"/>
      <c r="CJ41" s="92"/>
      <c r="CK41" s="89"/>
      <c r="CL41" s="87"/>
      <c r="CM41" s="87"/>
      <c r="CN41" s="87"/>
      <c r="CO41" s="87"/>
      <c r="CP41" s="126"/>
      <c r="CQ41" s="127"/>
      <c r="CR41" s="127"/>
      <c r="CS41" s="127"/>
      <c r="CT41" s="127"/>
    </row>
    <row r="42" spans="1:353" s="82" customFormat="1" ht="19.95" customHeight="1" x14ac:dyDescent="0.3">
      <c r="B42" s="84" t="s">
        <v>97</v>
      </c>
      <c r="C42" s="93" t="s">
        <v>139</v>
      </c>
      <c r="D42" s="96" t="s">
        <v>61</v>
      </c>
      <c r="E42" s="71">
        <v>46304</v>
      </c>
      <c r="F42" s="72">
        <v>46304</v>
      </c>
      <c r="G42" s="73">
        <f t="shared" si="7"/>
        <v>1</v>
      </c>
      <c r="H42" s="85">
        <v>0</v>
      </c>
      <c r="I42" s="86"/>
      <c r="J42" s="87"/>
      <c r="K42" s="87"/>
      <c r="L42" s="87"/>
      <c r="M42" s="87"/>
      <c r="N42" s="88"/>
      <c r="O42" s="88"/>
      <c r="P42" s="88"/>
      <c r="Q42" s="88"/>
      <c r="R42" s="88"/>
      <c r="S42" s="87"/>
      <c r="T42" s="87"/>
      <c r="U42" s="87"/>
      <c r="V42" s="87"/>
      <c r="W42" s="87"/>
      <c r="X42" s="88"/>
      <c r="Y42" s="88"/>
      <c r="Z42" s="88"/>
      <c r="AA42" s="88"/>
      <c r="AB42" s="88"/>
      <c r="AC42" s="89"/>
      <c r="AD42" s="87"/>
      <c r="AE42" s="87"/>
      <c r="AF42" s="87"/>
      <c r="AG42" s="87"/>
      <c r="AH42" s="90"/>
      <c r="AI42" s="90"/>
      <c r="AJ42" s="90"/>
      <c r="AK42" s="90"/>
      <c r="AL42" s="90"/>
      <c r="AM42" s="87"/>
      <c r="AN42" s="87"/>
      <c r="AO42" s="87"/>
      <c r="AP42" s="87"/>
      <c r="AQ42" s="87"/>
      <c r="AR42" s="90"/>
      <c r="AS42" s="90"/>
      <c r="AT42" s="90"/>
      <c r="AU42" s="90"/>
      <c r="AV42" s="90"/>
      <c r="AW42" s="87"/>
      <c r="AX42" s="87"/>
      <c r="AY42" s="87"/>
      <c r="AZ42" s="87"/>
      <c r="BA42" s="122"/>
      <c r="BB42" s="87"/>
      <c r="BC42" s="91"/>
      <c r="BD42" s="91"/>
      <c r="BE42" s="91"/>
      <c r="BF42" s="91"/>
      <c r="BG42" s="87"/>
      <c r="BH42" s="87"/>
      <c r="BI42" s="87"/>
      <c r="BJ42" s="87"/>
      <c r="BK42" s="87"/>
      <c r="BL42" s="91"/>
      <c r="BM42" s="91"/>
      <c r="BN42" s="91"/>
      <c r="BO42" s="91"/>
      <c r="BP42" s="91"/>
      <c r="BQ42" s="89"/>
      <c r="BR42" s="87"/>
      <c r="BS42" s="87"/>
      <c r="BT42" s="87"/>
      <c r="BU42" s="87"/>
      <c r="BV42" s="92"/>
      <c r="BW42" s="92"/>
      <c r="BX42" s="92"/>
      <c r="BY42" s="92"/>
      <c r="BZ42" s="92"/>
      <c r="CA42" s="87"/>
      <c r="CB42" s="87"/>
      <c r="CC42" s="87"/>
      <c r="CD42" s="87"/>
      <c r="CE42" s="87"/>
      <c r="CF42" s="92"/>
      <c r="CG42" s="92"/>
      <c r="CH42" s="92"/>
      <c r="CI42" s="92"/>
      <c r="CJ42" s="92"/>
      <c r="CK42" s="89"/>
      <c r="CL42" s="87"/>
      <c r="CM42" s="87"/>
      <c r="CN42" s="87"/>
      <c r="CO42" s="87"/>
      <c r="CP42" s="126"/>
      <c r="CQ42" s="127"/>
      <c r="CR42" s="127"/>
      <c r="CS42" s="127"/>
      <c r="CT42" s="127"/>
    </row>
    <row r="43" spans="1:353" s="82" customFormat="1" ht="19.95" customHeight="1" x14ac:dyDescent="0.3">
      <c r="B43" s="84" t="s">
        <v>98</v>
      </c>
      <c r="C43" s="93" t="s">
        <v>140</v>
      </c>
      <c r="D43" s="96" t="s">
        <v>61</v>
      </c>
      <c r="E43" s="71">
        <v>46307</v>
      </c>
      <c r="F43" s="72">
        <v>46307</v>
      </c>
      <c r="G43" s="73">
        <f t="shared" si="7"/>
        <v>1</v>
      </c>
      <c r="H43" s="85">
        <v>0</v>
      </c>
      <c r="I43" s="86"/>
      <c r="J43" s="87"/>
      <c r="K43" s="87"/>
      <c r="L43" s="87"/>
      <c r="M43" s="87"/>
      <c r="N43" s="88"/>
      <c r="O43" s="88"/>
      <c r="P43" s="88"/>
      <c r="Q43" s="88"/>
      <c r="R43" s="88"/>
      <c r="S43" s="87"/>
      <c r="T43" s="87"/>
      <c r="U43" s="87"/>
      <c r="V43" s="87"/>
      <c r="W43" s="87"/>
      <c r="X43" s="88"/>
      <c r="Y43" s="88"/>
      <c r="Z43" s="88"/>
      <c r="AA43" s="88"/>
      <c r="AB43" s="88"/>
      <c r="AC43" s="89"/>
      <c r="AD43" s="87"/>
      <c r="AE43" s="87"/>
      <c r="AF43" s="87"/>
      <c r="AG43" s="87"/>
      <c r="AH43" s="90"/>
      <c r="AI43" s="90"/>
      <c r="AJ43" s="90"/>
      <c r="AK43" s="90"/>
      <c r="AL43" s="90"/>
      <c r="AM43" s="87"/>
      <c r="AN43" s="87"/>
      <c r="AO43" s="87"/>
      <c r="AP43" s="87"/>
      <c r="AQ43" s="87"/>
      <c r="AR43" s="90"/>
      <c r="AS43" s="90"/>
      <c r="AT43" s="90"/>
      <c r="AU43" s="90"/>
      <c r="AV43" s="90"/>
      <c r="AW43" s="87"/>
      <c r="AX43" s="87"/>
      <c r="AY43" s="87"/>
      <c r="AZ43" s="87"/>
      <c r="BA43" s="87"/>
      <c r="BB43" s="122"/>
      <c r="BC43" s="91"/>
      <c r="BD43" s="91"/>
      <c r="BE43" s="91"/>
      <c r="BF43" s="91"/>
      <c r="BG43" s="87"/>
      <c r="BH43" s="87"/>
      <c r="BI43" s="87"/>
      <c r="BJ43" s="87"/>
      <c r="BK43" s="87"/>
      <c r="BL43" s="91"/>
      <c r="BM43" s="91"/>
      <c r="BN43" s="91"/>
      <c r="BO43" s="91"/>
      <c r="BP43" s="91"/>
      <c r="BQ43" s="89"/>
      <c r="BR43" s="87"/>
      <c r="BS43" s="87"/>
      <c r="BT43" s="87"/>
      <c r="BU43" s="87"/>
      <c r="BV43" s="92"/>
      <c r="BW43" s="92"/>
      <c r="BX43" s="92"/>
      <c r="BY43" s="92"/>
      <c r="BZ43" s="92"/>
      <c r="CA43" s="87"/>
      <c r="CB43" s="87"/>
      <c r="CC43" s="87"/>
      <c r="CD43" s="87"/>
      <c r="CE43" s="87"/>
      <c r="CF43" s="92"/>
      <c r="CG43" s="92"/>
      <c r="CH43" s="92"/>
      <c r="CI43" s="92"/>
      <c r="CJ43" s="92"/>
      <c r="CK43" s="89"/>
      <c r="CL43" s="87"/>
      <c r="CM43" s="87"/>
      <c r="CN43" s="87"/>
      <c r="CO43" s="87"/>
      <c r="CP43" s="126"/>
      <c r="CQ43" s="127"/>
      <c r="CR43" s="127"/>
      <c r="CS43" s="127"/>
      <c r="CT43" s="127"/>
    </row>
    <row r="44" spans="1:353" s="83" customFormat="1" ht="19.95" customHeight="1" x14ac:dyDescent="0.3">
      <c r="A44" s="82"/>
      <c r="B44" s="107" t="s">
        <v>27</v>
      </c>
      <c r="C44" s="108" t="s">
        <v>188</v>
      </c>
      <c r="D44" s="109"/>
      <c r="E44" s="109"/>
      <c r="F44" s="109"/>
      <c r="G44" s="111" t="str">
        <f t="shared" si="4"/>
        <v/>
      </c>
      <c r="H44" s="113"/>
      <c r="I44" s="114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115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115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115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115"/>
      <c r="CL44" s="92"/>
      <c r="CM44" s="92"/>
      <c r="CN44" s="92"/>
      <c r="CO44" s="92"/>
      <c r="CP44" s="115"/>
      <c r="CQ44" s="92"/>
      <c r="CR44" s="92"/>
      <c r="CS44" s="92"/>
      <c r="CT44" s="9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82"/>
      <c r="EN44" s="82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  <c r="FU44" s="82"/>
      <c r="FV44" s="82"/>
      <c r="FW44" s="82"/>
      <c r="FX44" s="82"/>
      <c r="FY44" s="82"/>
      <c r="FZ44" s="82"/>
      <c r="GA44" s="82"/>
      <c r="GB44" s="82"/>
      <c r="GC44" s="82"/>
      <c r="GD44" s="82"/>
      <c r="GE44" s="82"/>
      <c r="GF44" s="82"/>
      <c r="GG44" s="82"/>
      <c r="GH44" s="82"/>
      <c r="GI44" s="82"/>
      <c r="GJ44" s="82"/>
      <c r="GK44" s="82"/>
      <c r="GL44" s="82"/>
      <c r="GM44" s="82"/>
      <c r="GN44" s="82"/>
      <c r="GO44" s="82"/>
      <c r="GP44" s="82"/>
      <c r="GQ44" s="82"/>
      <c r="GR44" s="82"/>
      <c r="GS44" s="82"/>
      <c r="GT44" s="82"/>
      <c r="GU44" s="82"/>
      <c r="GV44" s="82"/>
      <c r="GW44" s="82"/>
      <c r="GX44" s="82"/>
      <c r="GY44" s="82"/>
      <c r="GZ44" s="82"/>
      <c r="HA44" s="82"/>
      <c r="HB44" s="82"/>
      <c r="HC44" s="82"/>
      <c r="HD44" s="82"/>
      <c r="HE44" s="82"/>
      <c r="HF44" s="82"/>
      <c r="HG44" s="82"/>
      <c r="HH44" s="82"/>
      <c r="HI44" s="82"/>
      <c r="HJ44" s="82"/>
      <c r="HK44" s="82"/>
      <c r="HL44" s="82"/>
      <c r="HM44" s="82"/>
      <c r="HN44" s="82"/>
      <c r="HO44" s="82"/>
      <c r="HP44" s="82"/>
      <c r="HQ44" s="82"/>
      <c r="HR44" s="82"/>
      <c r="HS44" s="82"/>
      <c r="HT44" s="82"/>
      <c r="HU44" s="82"/>
      <c r="HV44" s="82"/>
      <c r="HW44" s="82"/>
      <c r="HX44" s="82"/>
      <c r="HY44" s="82"/>
      <c r="HZ44" s="82"/>
      <c r="IA44" s="82"/>
      <c r="IB44" s="82"/>
      <c r="IC44" s="82"/>
      <c r="ID44" s="82"/>
      <c r="IE44" s="82"/>
      <c r="IF44" s="82"/>
      <c r="IG44" s="82"/>
      <c r="IH44" s="82"/>
      <c r="II44" s="82"/>
      <c r="IJ44" s="82"/>
      <c r="IK44" s="82"/>
      <c r="IL44" s="82"/>
      <c r="IM44" s="82"/>
      <c r="IN44" s="82"/>
      <c r="IO44" s="82"/>
      <c r="IP44" s="82"/>
      <c r="IQ44" s="82"/>
      <c r="IR44" s="82"/>
      <c r="IS44" s="82"/>
      <c r="IT44" s="82"/>
      <c r="IU44" s="82"/>
      <c r="IV44" s="82"/>
      <c r="IW44" s="82"/>
      <c r="IX44" s="82"/>
      <c r="IY44" s="82"/>
      <c r="IZ44" s="82"/>
      <c r="JA44" s="82"/>
      <c r="JB44" s="82"/>
      <c r="JC44" s="82"/>
      <c r="JD44" s="82"/>
      <c r="JE44" s="82"/>
      <c r="JF44" s="82"/>
      <c r="JG44" s="82"/>
      <c r="JH44" s="82"/>
      <c r="JI44" s="82"/>
      <c r="JJ44" s="82"/>
      <c r="JK44" s="82"/>
      <c r="JL44" s="82"/>
      <c r="JM44" s="82"/>
      <c r="JN44" s="82"/>
      <c r="JO44" s="82"/>
      <c r="JP44" s="82"/>
      <c r="JQ44" s="82"/>
      <c r="JR44" s="82"/>
      <c r="JS44" s="82"/>
      <c r="JT44" s="82"/>
      <c r="JU44" s="82"/>
      <c r="JV44" s="82"/>
      <c r="JW44" s="82"/>
      <c r="JX44" s="82"/>
      <c r="JY44" s="82"/>
      <c r="JZ44" s="82"/>
      <c r="KA44" s="82"/>
      <c r="KB44" s="82"/>
      <c r="KC44" s="82"/>
      <c r="KD44" s="82"/>
      <c r="KE44" s="82"/>
      <c r="KF44" s="82"/>
      <c r="KG44" s="82"/>
      <c r="KH44" s="82"/>
      <c r="KI44" s="82"/>
      <c r="KJ44" s="82"/>
      <c r="KK44" s="82"/>
      <c r="KL44" s="82"/>
      <c r="KM44" s="82"/>
      <c r="KN44" s="82"/>
      <c r="KO44" s="82"/>
      <c r="KP44" s="82"/>
      <c r="KQ44" s="82"/>
      <c r="KR44" s="82"/>
      <c r="KS44" s="82"/>
      <c r="KT44" s="82"/>
      <c r="KU44" s="82"/>
      <c r="KV44" s="82"/>
      <c r="KW44" s="82"/>
      <c r="KX44" s="82"/>
      <c r="KY44" s="82"/>
      <c r="KZ44" s="82"/>
      <c r="LA44" s="82"/>
      <c r="LB44" s="82"/>
      <c r="LC44" s="82"/>
      <c r="LD44" s="82"/>
      <c r="LE44" s="82"/>
      <c r="LF44" s="82"/>
      <c r="LG44" s="82"/>
      <c r="LH44" s="82"/>
      <c r="LI44" s="82"/>
      <c r="LJ44" s="82"/>
      <c r="LK44" s="82"/>
      <c r="LL44" s="82"/>
      <c r="LM44" s="82"/>
      <c r="LN44" s="82"/>
      <c r="LO44" s="82"/>
      <c r="LP44" s="82"/>
      <c r="LQ44" s="82"/>
      <c r="LR44" s="82"/>
      <c r="LS44" s="82"/>
      <c r="LT44" s="82"/>
      <c r="LU44" s="82"/>
      <c r="LV44" s="82"/>
      <c r="LW44" s="82"/>
      <c r="LX44" s="82"/>
      <c r="LY44" s="82"/>
      <c r="LZ44" s="82"/>
      <c r="MA44" s="82"/>
      <c r="MB44" s="82"/>
      <c r="MC44" s="82"/>
      <c r="MD44" s="82"/>
      <c r="ME44" s="82"/>
      <c r="MF44" s="82"/>
      <c r="MG44" s="82"/>
      <c r="MH44" s="82"/>
      <c r="MI44" s="82"/>
      <c r="MJ44" s="82"/>
      <c r="MK44" s="82"/>
      <c r="ML44" s="82"/>
      <c r="MM44" s="82"/>
      <c r="MN44" s="82"/>
      <c r="MO44" s="82"/>
    </row>
    <row r="45" spans="1:353" s="82" customFormat="1" ht="19.95" customHeight="1" x14ac:dyDescent="0.3">
      <c r="B45" s="84" t="s">
        <v>99</v>
      </c>
      <c r="C45" s="93" t="s">
        <v>189</v>
      </c>
      <c r="D45" s="96" t="s">
        <v>55</v>
      </c>
      <c r="E45" s="71">
        <v>46308</v>
      </c>
      <c r="F45" s="72">
        <v>46309</v>
      </c>
      <c r="G45" s="73">
        <f t="shared" ref="G45:G52" si="8">IF(OR(E45="",F45=""),"",NETWORKDAYS(E45,F45))</f>
        <v>2</v>
      </c>
      <c r="H45" s="85">
        <v>0</v>
      </c>
      <c r="I45" s="86"/>
      <c r="J45" s="87"/>
      <c r="K45" s="87"/>
      <c r="L45" s="87"/>
      <c r="M45" s="87"/>
      <c r="N45" s="88"/>
      <c r="O45" s="88"/>
      <c r="P45" s="88"/>
      <c r="Q45" s="88"/>
      <c r="R45" s="88"/>
      <c r="S45" s="87"/>
      <c r="T45" s="87"/>
      <c r="U45" s="87"/>
      <c r="V45" s="87"/>
      <c r="W45" s="87"/>
      <c r="X45" s="88"/>
      <c r="Y45" s="88"/>
      <c r="Z45" s="88"/>
      <c r="AA45" s="88"/>
      <c r="AB45" s="88"/>
      <c r="AC45" s="89"/>
      <c r="AD45" s="87"/>
      <c r="AE45" s="87"/>
      <c r="AF45" s="87"/>
      <c r="AG45" s="87"/>
      <c r="AH45" s="90"/>
      <c r="AI45" s="90"/>
      <c r="AJ45" s="90"/>
      <c r="AK45" s="90"/>
      <c r="AL45" s="90"/>
      <c r="AM45" s="87"/>
      <c r="AN45" s="87"/>
      <c r="AO45" s="87"/>
      <c r="AP45" s="87"/>
      <c r="AQ45" s="87"/>
      <c r="AR45" s="90"/>
      <c r="AS45" s="90"/>
      <c r="AT45" s="90"/>
      <c r="AU45" s="90"/>
      <c r="AV45" s="90"/>
      <c r="AW45" s="89"/>
      <c r="AX45" s="87"/>
      <c r="AY45" s="87"/>
      <c r="AZ45" s="87"/>
      <c r="BA45" s="87"/>
      <c r="BB45" s="91"/>
      <c r="BC45" s="122"/>
      <c r="BD45" s="122"/>
      <c r="BE45" s="91"/>
      <c r="BF45" s="91"/>
      <c r="BG45" s="87"/>
      <c r="BH45" s="87"/>
      <c r="BI45" s="87"/>
      <c r="BJ45" s="87"/>
      <c r="BK45" s="87"/>
      <c r="BL45" s="91"/>
      <c r="BM45" s="91"/>
      <c r="BN45" s="91"/>
      <c r="BO45" s="91"/>
      <c r="BP45" s="91"/>
      <c r="BQ45" s="89"/>
      <c r="BR45" s="87"/>
      <c r="BS45" s="87"/>
      <c r="BT45" s="87"/>
      <c r="BU45" s="87"/>
      <c r="BV45" s="92"/>
      <c r="BW45" s="92"/>
      <c r="BX45" s="92"/>
      <c r="BY45" s="92"/>
      <c r="BZ45" s="92"/>
      <c r="CA45" s="87"/>
      <c r="CB45" s="87"/>
      <c r="CC45" s="87"/>
      <c r="CD45" s="87"/>
      <c r="CE45" s="87"/>
      <c r="CF45" s="92"/>
      <c r="CG45" s="92"/>
      <c r="CH45" s="92"/>
      <c r="CI45" s="92"/>
      <c r="CJ45" s="92"/>
      <c r="CK45" s="89"/>
      <c r="CL45" s="87"/>
      <c r="CM45" s="87"/>
      <c r="CN45" s="87"/>
      <c r="CO45" s="87"/>
      <c r="CP45" s="126"/>
      <c r="CQ45" s="127"/>
      <c r="CR45" s="127"/>
      <c r="CS45" s="127"/>
      <c r="CT45" s="127"/>
    </row>
    <row r="46" spans="1:353" s="82" customFormat="1" ht="19.95" customHeight="1" x14ac:dyDescent="0.3">
      <c r="B46" s="84" t="s">
        <v>100</v>
      </c>
      <c r="C46" s="93" t="s">
        <v>190</v>
      </c>
      <c r="D46" s="96" t="s">
        <v>60</v>
      </c>
      <c r="E46" s="71">
        <v>46310</v>
      </c>
      <c r="F46" s="72">
        <v>46311</v>
      </c>
      <c r="G46" s="73">
        <f t="shared" si="8"/>
        <v>2</v>
      </c>
      <c r="H46" s="85">
        <v>0</v>
      </c>
      <c r="I46" s="86"/>
      <c r="J46" s="87"/>
      <c r="K46" s="87"/>
      <c r="L46" s="87"/>
      <c r="M46" s="87"/>
      <c r="N46" s="88"/>
      <c r="O46" s="88"/>
      <c r="P46" s="88"/>
      <c r="Q46" s="88"/>
      <c r="R46" s="88"/>
      <c r="S46" s="87"/>
      <c r="T46" s="87"/>
      <c r="U46" s="87"/>
      <c r="V46" s="87"/>
      <c r="W46" s="87"/>
      <c r="X46" s="88"/>
      <c r="Y46" s="88"/>
      <c r="Z46" s="88"/>
      <c r="AA46" s="88"/>
      <c r="AB46" s="88"/>
      <c r="AC46" s="89"/>
      <c r="AD46" s="87"/>
      <c r="AE46" s="87"/>
      <c r="AF46" s="87"/>
      <c r="AG46" s="87"/>
      <c r="AH46" s="90"/>
      <c r="AI46" s="90"/>
      <c r="AJ46" s="90"/>
      <c r="AK46" s="90"/>
      <c r="AL46" s="90"/>
      <c r="AM46" s="87"/>
      <c r="AN46" s="87"/>
      <c r="AO46" s="87"/>
      <c r="AP46" s="87"/>
      <c r="AQ46" s="87"/>
      <c r="AR46" s="90"/>
      <c r="AS46" s="90"/>
      <c r="AT46" s="90"/>
      <c r="AU46" s="90"/>
      <c r="AV46" s="90"/>
      <c r="AW46" s="89"/>
      <c r="AX46" s="87"/>
      <c r="AY46" s="87"/>
      <c r="AZ46" s="87"/>
      <c r="BA46" s="87"/>
      <c r="BB46" s="91"/>
      <c r="BC46" s="91"/>
      <c r="BD46" s="91"/>
      <c r="BE46" s="122"/>
      <c r="BF46" s="122"/>
      <c r="BG46" s="87"/>
      <c r="BH46" s="87"/>
      <c r="BI46" s="87"/>
      <c r="BJ46" s="87"/>
      <c r="BK46" s="87"/>
      <c r="BL46" s="91"/>
      <c r="BM46" s="91"/>
      <c r="BN46" s="91"/>
      <c r="BO46" s="91"/>
      <c r="BP46" s="91"/>
      <c r="BQ46" s="89"/>
      <c r="BR46" s="87"/>
      <c r="BS46" s="87"/>
      <c r="BT46" s="87"/>
      <c r="BU46" s="87"/>
      <c r="BV46" s="92"/>
      <c r="BW46" s="92"/>
      <c r="BX46" s="92"/>
      <c r="BY46" s="92"/>
      <c r="BZ46" s="92"/>
      <c r="CA46" s="87"/>
      <c r="CB46" s="87"/>
      <c r="CC46" s="87"/>
      <c r="CD46" s="87"/>
      <c r="CE46" s="87"/>
      <c r="CF46" s="92"/>
      <c r="CG46" s="92"/>
      <c r="CH46" s="92"/>
      <c r="CI46" s="92"/>
      <c r="CJ46" s="92"/>
      <c r="CK46" s="89"/>
      <c r="CL46" s="87"/>
      <c r="CM46" s="87"/>
      <c r="CN46" s="87"/>
      <c r="CO46" s="87"/>
      <c r="CP46" s="126"/>
      <c r="CQ46" s="127"/>
      <c r="CR46" s="127"/>
      <c r="CS46" s="127"/>
      <c r="CT46" s="127"/>
    </row>
    <row r="47" spans="1:353" s="82" customFormat="1" ht="19.95" customHeight="1" x14ac:dyDescent="0.3">
      <c r="B47" s="84" t="s">
        <v>101</v>
      </c>
      <c r="C47" s="93" t="s">
        <v>191</v>
      </c>
      <c r="D47" s="96" t="s">
        <v>60</v>
      </c>
      <c r="E47" s="71">
        <v>46314</v>
      </c>
      <c r="F47" s="72">
        <v>46315</v>
      </c>
      <c r="G47" s="73">
        <f t="shared" si="8"/>
        <v>2</v>
      </c>
      <c r="H47" s="85">
        <v>0</v>
      </c>
      <c r="I47" s="86"/>
      <c r="J47" s="87"/>
      <c r="K47" s="87"/>
      <c r="L47" s="87"/>
      <c r="M47" s="87"/>
      <c r="N47" s="88"/>
      <c r="O47" s="88"/>
      <c r="P47" s="88"/>
      <c r="Q47" s="88"/>
      <c r="R47" s="88"/>
      <c r="S47" s="87"/>
      <c r="T47" s="87"/>
      <c r="U47" s="87"/>
      <c r="V47" s="87"/>
      <c r="W47" s="87"/>
      <c r="X47" s="88"/>
      <c r="Y47" s="88"/>
      <c r="Z47" s="88"/>
      <c r="AA47" s="88"/>
      <c r="AB47" s="88"/>
      <c r="AC47" s="89"/>
      <c r="AD47" s="87"/>
      <c r="AE47" s="87"/>
      <c r="AF47" s="87"/>
      <c r="AG47" s="87"/>
      <c r="AH47" s="90"/>
      <c r="AI47" s="90"/>
      <c r="AJ47" s="90"/>
      <c r="AK47" s="90"/>
      <c r="AL47" s="90"/>
      <c r="AM47" s="87"/>
      <c r="AN47" s="87"/>
      <c r="AO47" s="87"/>
      <c r="AP47" s="87"/>
      <c r="AQ47" s="87"/>
      <c r="AR47" s="90"/>
      <c r="AS47" s="90"/>
      <c r="AT47" s="90"/>
      <c r="AU47" s="90"/>
      <c r="AV47" s="90"/>
      <c r="AW47" s="89"/>
      <c r="AX47" s="87"/>
      <c r="AY47" s="87"/>
      <c r="AZ47" s="87"/>
      <c r="BA47" s="87"/>
      <c r="BB47" s="91"/>
      <c r="BC47" s="91"/>
      <c r="BD47" s="91"/>
      <c r="BE47" s="91"/>
      <c r="BF47" s="91"/>
      <c r="BG47" s="122"/>
      <c r="BH47" s="122"/>
      <c r="BI47" s="87"/>
      <c r="BJ47" s="87"/>
      <c r="BK47" s="87"/>
      <c r="BL47" s="91"/>
      <c r="BM47" s="91"/>
      <c r="BN47" s="91"/>
      <c r="BO47" s="91"/>
      <c r="BP47" s="91"/>
      <c r="BQ47" s="89"/>
      <c r="BR47" s="87"/>
      <c r="BS47" s="87"/>
      <c r="BT47" s="87"/>
      <c r="BU47" s="87"/>
      <c r="BV47" s="92"/>
      <c r="BW47" s="92"/>
      <c r="BX47" s="92"/>
      <c r="BY47" s="92"/>
      <c r="BZ47" s="92"/>
      <c r="CA47" s="87"/>
      <c r="CB47" s="87"/>
      <c r="CC47" s="87"/>
      <c r="CD47" s="87"/>
      <c r="CE47" s="87"/>
      <c r="CF47" s="92"/>
      <c r="CG47" s="92"/>
      <c r="CH47" s="92"/>
      <c r="CI47" s="92"/>
      <c r="CJ47" s="92"/>
      <c r="CK47" s="89"/>
      <c r="CL47" s="87"/>
      <c r="CM47" s="87"/>
      <c r="CN47" s="87"/>
      <c r="CO47" s="87"/>
      <c r="CP47" s="126"/>
      <c r="CQ47" s="127"/>
      <c r="CR47" s="127"/>
      <c r="CS47" s="127"/>
      <c r="CT47" s="127"/>
    </row>
    <row r="48" spans="1:353" s="82" customFormat="1" ht="19.95" customHeight="1" x14ac:dyDescent="0.3">
      <c r="B48" s="84" t="s">
        <v>102</v>
      </c>
      <c r="C48" s="93" t="s">
        <v>141</v>
      </c>
      <c r="D48" s="96" t="s">
        <v>60</v>
      </c>
      <c r="E48" s="71">
        <v>46316</v>
      </c>
      <c r="F48" s="72">
        <v>46317</v>
      </c>
      <c r="G48" s="73">
        <f t="shared" si="8"/>
        <v>2</v>
      </c>
      <c r="H48" s="85">
        <v>0</v>
      </c>
      <c r="I48" s="86"/>
      <c r="J48" s="87"/>
      <c r="K48" s="87"/>
      <c r="L48" s="87"/>
      <c r="M48" s="87"/>
      <c r="N48" s="88"/>
      <c r="O48" s="88"/>
      <c r="P48" s="88"/>
      <c r="Q48" s="88"/>
      <c r="R48" s="88"/>
      <c r="S48" s="87"/>
      <c r="T48" s="87"/>
      <c r="U48" s="87" t="s">
        <v>3</v>
      </c>
      <c r="V48" s="87"/>
      <c r="W48" s="87"/>
      <c r="X48" s="88"/>
      <c r="Y48" s="88"/>
      <c r="Z48" s="88" t="s">
        <v>3</v>
      </c>
      <c r="AA48" s="88"/>
      <c r="AB48" s="88"/>
      <c r="AC48" s="89"/>
      <c r="AD48" s="87"/>
      <c r="AE48" s="87"/>
      <c r="AF48" s="87"/>
      <c r="AG48" s="87"/>
      <c r="AH48" s="90"/>
      <c r="AI48" s="90"/>
      <c r="AJ48" s="90"/>
      <c r="AK48" s="90"/>
      <c r="AL48" s="90"/>
      <c r="AM48" s="87"/>
      <c r="AN48" s="87"/>
      <c r="AO48" s="87"/>
      <c r="AP48" s="87"/>
      <c r="AQ48" s="87"/>
      <c r="AR48" s="90"/>
      <c r="AS48" s="90"/>
      <c r="AT48" s="90"/>
      <c r="AU48" s="90"/>
      <c r="AV48" s="90"/>
      <c r="AW48" s="89"/>
      <c r="AX48" s="87"/>
      <c r="AY48" s="87"/>
      <c r="AZ48" s="87"/>
      <c r="BA48" s="87"/>
      <c r="BB48" s="91"/>
      <c r="BC48" s="91"/>
      <c r="BD48" s="91"/>
      <c r="BE48" s="91"/>
      <c r="BF48" s="91"/>
      <c r="BG48" s="87"/>
      <c r="BH48" s="87"/>
      <c r="BI48" s="122"/>
      <c r="BJ48" s="122"/>
      <c r="BK48" s="87"/>
      <c r="BL48" s="91"/>
      <c r="BM48" s="91"/>
      <c r="BN48" s="91"/>
      <c r="BO48" s="91"/>
      <c r="BP48" s="91"/>
      <c r="BQ48" s="89"/>
      <c r="BR48" s="87"/>
      <c r="BS48" s="87"/>
      <c r="BT48" s="87"/>
      <c r="BU48" s="87"/>
      <c r="BV48" s="92"/>
      <c r="BW48" s="92"/>
      <c r="BX48" s="92"/>
      <c r="BY48" s="92"/>
      <c r="BZ48" s="92"/>
      <c r="CA48" s="87"/>
      <c r="CB48" s="87"/>
      <c r="CC48" s="87"/>
      <c r="CD48" s="87"/>
      <c r="CE48" s="87"/>
      <c r="CF48" s="92"/>
      <c r="CG48" s="92"/>
      <c r="CH48" s="92"/>
      <c r="CI48" s="92"/>
      <c r="CJ48" s="92"/>
      <c r="CK48" s="89"/>
      <c r="CL48" s="87"/>
      <c r="CM48" s="87"/>
      <c r="CN48" s="87"/>
      <c r="CO48" s="87"/>
      <c r="CP48" s="126"/>
      <c r="CQ48" s="127"/>
      <c r="CR48" s="127"/>
      <c r="CS48" s="127"/>
      <c r="CT48" s="127"/>
    </row>
    <row r="49" spans="1:353" s="82" customFormat="1" ht="19.95" customHeight="1" x14ac:dyDescent="0.3">
      <c r="B49" s="84" t="s">
        <v>103</v>
      </c>
      <c r="C49" s="93" t="s">
        <v>142</v>
      </c>
      <c r="D49" s="96" t="s">
        <v>55</v>
      </c>
      <c r="E49" s="71">
        <v>46316</v>
      </c>
      <c r="F49" s="72">
        <v>46318</v>
      </c>
      <c r="G49" s="73">
        <f t="shared" si="8"/>
        <v>3</v>
      </c>
      <c r="H49" s="85">
        <v>0</v>
      </c>
      <c r="I49" s="86"/>
      <c r="J49" s="87"/>
      <c r="K49" s="87"/>
      <c r="L49" s="87"/>
      <c r="M49" s="87"/>
      <c r="N49" s="88"/>
      <c r="O49" s="88"/>
      <c r="P49" s="88"/>
      <c r="Q49" s="88"/>
      <c r="R49" s="88"/>
      <c r="S49" s="87"/>
      <c r="T49" s="87"/>
      <c r="U49" s="87"/>
      <c r="V49" s="87"/>
      <c r="W49" s="87"/>
      <c r="X49" s="88"/>
      <c r="Y49" s="88"/>
      <c r="Z49" s="88"/>
      <c r="AA49" s="88"/>
      <c r="AB49" s="88"/>
      <c r="AC49" s="89"/>
      <c r="AD49" s="87"/>
      <c r="AE49" s="87"/>
      <c r="AF49" s="87"/>
      <c r="AG49" s="87"/>
      <c r="AH49" s="90"/>
      <c r="AI49" s="90"/>
      <c r="AJ49" s="90"/>
      <c r="AK49" s="90"/>
      <c r="AL49" s="90"/>
      <c r="AM49" s="87"/>
      <c r="AN49" s="87"/>
      <c r="AO49" s="87"/>
      <c r="AP49" s="87"/>
      <c r="AQ49" s="87"/>
      <c r="AR49" s="90"/>
      <c r="AS49" s="90"/>
      <c r="AT49" s="90"/>
      <c r="AU49" s="90"/>
      <c r="AV49" s="90"/>
      <c r="AW49" s="89"/>
      <c r="AX49" s="87"/>
      <c r="AY49" s="87"/>
      <c r="AZ49" s="87"/>
      <c r="BA49" s="87"/>
      <c r="BB49" s="91"/>
      <c r="BC49" s="91"/>
      <c r="BD49" s="91"/>
      <c r="BE49" s="91"/>
      <c r="BF49" s="91"/>
      <c r="BG49" s="87"/>
      <c r="BH49" s="87"/>
      <c r="BI49" s="122"/>
      <c r="BJ49" s="122"/>
      <c r="BK49" s="122"/>
      <c r="BL49" s="91"/>
      <c r="BM49" s="91"/>
      <c r="BN49" s="91"/>
      <c r="BO49" s="91"/>
      <c r="BP49" s="91"/>
      <c r="BQ49" s="89"/>
      <c r="BR49" s="87"/>
      <c r="BS49" s="87"/>
      <c r="BT49" s="87"/>
      <c r="BU49" s="87"/>
      <c r="BV49" s="92"/>
      <c r="BW49" s="92"/>
      <c r="BX49" s="92"/>
      <c r="BY49" s="92"/>
      <c r="BZ49" s="92"/>
      <c r="CA49" s="87"/>
      <c r="CB49" s="87"/>
      <c r="CC49" s="87"/>
      <c r="CD49" s="87"/>
      <c r="CE49" s="87"/>
      <c r="CF49" s="92"/>
      <c r="CG49" s="92"/>
      <c r="CH49" s="92"/>
      <c r="CI49" s="92"/>
      <c r="CJ49" s="92"/>
      <c r="CK49" s="89"/>
      <c r="CL49" s="87"/>
      <c r="CM49" s="87"/>
      <c r="CN49" s="87"/>
      <c r="CO49" s="87"/>
      <c r="CP49" s="126"/>
      <c r="CQ49" s="127"/>
      <c r="CR49" s="127"/>
      <c r="CS49" s="127"/>
      <c r="CT49" s="127"/>
    </row>
    <row r="50" spans="1:353" s="82" customFormat="1" ht="19.95" customHeight="1" x14ac:dyDescent="0.3">
      <c r="B50" s="84" t="s">
        <v>104</v>
      </c>
      <c r="C50" s="93" t="s">
        <v>143</v>
      </c>
      <c r="D50" s="96" t="s">
        <v>55</v>
      </c>
      <c r="E50" s="71">
        <v>46314</v>
      </c>
      <c r="F50" s="72">
        <v>46318</v>
      </c>
      <c r="G50" s="73">
        <f t="shared" si="8"/>
        <v>5</v>
      </c>
      <c r="H50" s="85">
        <v>0</v>
      </c>
      <c r="I50" s="86"/>
      <c r="J50" s="87"/>
      <c r="K50" s="87"/>
      <c r="L50" s="87"/>
      <c r="M50" s="87"/>
      <c r="N50" s="88"/>
      <c r="O50" s="88"/>
      <c r="P50" s="88"/>
      <c r="Q50" s="88"/>
      <c r="R50" s="88"/>
      <c r="S50" s="87"/>
      <c r="T50" s="87"/>
      <c r="U50" s="87"/>
      <c r="V50" s="87"/>
      <c r="W50" s="87"/>
      <c r="X50" s="88"/>
      <c r="Y50" s="88"/>
      <c r="Z50" s="88"/>
      <c r="AA50" s="88"/>
      <c r="AB50" s="88"/>
      <c r="AC50" s="89"/>
      <c r="AD50" s="87"/>
      <c r="AE50" s="87"/>
      <c r="AF50" s="87"/>
      <c r="AG50" s="87"/>
      <c r="AH50" s="90"/>
      <c r="AI50" s="90"/>
      <c r="AJ50" s="90"/>
      <c r="AK50" s="90"/>
      <c r="AL50" s="90"/>
      <c r="AM50" s="87"/>
      <c r="AN50" s="87"/>
      <c r="AO50" s="87"/>
      <c r="AP50" s="87"/>
      <c r="AQ50" s="87"/>
      <c r="AR50" s="90"/>
      <c r="AS50" s="90"/>
      <c r="AT50" s="90"/>
      <c r="AU50" s="90"/>
      <c r="AV50" s="90"/>
      <c r="AW50" s="89"/>
      <c r="AX50" s="87"/>
      <c r="AY50" s="87"/>
      <c r="AZ50" s="87"/>
      <c r="BA50" s="87"/>
      <c r="BB50" s="91"/>
      <c r="BC50" s="91"/>
      <c r="BD50" s="91"/>
      <c r="BE50" s="91"/>
      <c r="BF50" s="91"/>
      <c r="BG50" s="122"/>
      <c r="BH50" s="122"/>
      <c r="BI50" s="122"/>
      <c r="BJ50" s="122"/>
      <c r="BK50" s="122"/>
      <c r="BL50" s="91"/>
      <c r="BM50" s="91"/>
      <c r="BN50" s="91"/>
      <c r="BO50" s="91"/>
      <c r="BP50" s="91"/>
      <c r="BQ50" s="89"/>
      <c r="BR50" s="87"/>
      <c r="BS50" s="87"/>
      <c r="BT50" s="87"/>
      <c r="BU50" s="87"/>
      <c r="BV50" s="92"/>
      <c r="BW50" s="92"/>
      <c r="BX50" s="92"/>
      <c r="BY50" s="92"/>
      <c r="BZ50" s="92"/>
      <c r="CA50" s="87"/>
      <c r="CB50" s="87"/>
      <c r="CC50" s="87"/>
      <c r="CD50" s="87"/>
      <c r="CE50" s="87"/>
      <c r="CF50" s="92"/>
      <c r="CG50" s="92"/>
      <c r="CH50" s="92"/>
      <c r="CI50" s="92"/>
      <c r="CJ50" s="92"/>
      <c r="CK50" s="89"/>
      <c r="CL50" s="87"/>
      <c r="CM50" s="87"/>
      <c r="CN50" s="87"/>
      <c r="CO50" s="87"/>
      <c r="CP50" s="126"/>
      <c r="CQ50" s="127"/>
      <c r="CR50" s="127"/>
      <c r="CS50" s="127"/>
      <c r="CT50" s="127"/>
    </row>
    <row r="51" spans="1:353" s="82" customFormat="1" ht="19.95" customHeight="1" x14ac:dyDescent="0.3">
      <c r="B51" s="84" t="s">
        <v>105</v>
      </c>
      <c r="C51" s="93" t="s">
        <v>192</v>
      </c>
      <c r="D51" s="96" t="s">
        <v>61</v>
      </c>
      <c r="E51" s="71">
        <v>46318</v>
      </c>
      <c r="F51" s="72">
        <v>46318</v>
      </c>
      <c r="G51" s="73">
        <f t="shared" si="8"/>
        <v>1</v>
      </c>
      <c r="H51" s="85">
        <v>0</v>
      </c>
      <c r="I51" s="86"/>
      <c r="J51" s="87"/>
      <c r="K51" s="87"/>
      <c r="L51" s="87"/>
      <c r="M51" s="87"/>
      <c r="N51" s="88"/>
      <c r="O51" s="88"/>
      <c r="P51" s="88"/>
      <c r="Q51" s="88"/>
      <c r="R51" s="88"/>
      <c r="S51" s="87"/>
      <c r="T51" s="87"/>
      <c r="U51" s="87"/>
      <c r="V51" s="87"/>
      <c r="W51" s="87"/>
      <c r="X51" s="88"/>
      <c r="Y51" s="88"/>
      <c r="Z51" s="88"/>
      <c r="AA51" s="88"/>
      <c r="AB51" s="88"/>
      <c r="AC51" s="89"/>
      <c r="AD51" s="87"/>
      <c r="AE51" s="87"/>
      <c r="AF51" s="87"/>
      <c r="AG51" s="87"/>
      <c r="AH51" s="90"/>
      <c r="AI51" s="90"/>
      <c r="AJ51" s="90"/>
      <c r="AK51" s="90"/>
      <c r="AL51" s="90"/>
      <c r="AM51" s="87"/>
      <c r="AN51" s="87"/>
      <c r="AO51" s="87"/>
      <c r="AP51" s="87"/>
      <c r="AQ51" s="87"/>
      <c r="AR51" s="90"/>
      <c r="AS51" s="90"/>
      <c r="AT51" s="90"/>
      <c r="AU51" s="90"/>
      <c r="AV51" s="90"/>
      <c r="AW51" s="89"/>
      <c r="AX51" s="87"/>
      <c r="AY51" s="87"/>
      <c r="AZ51" s="87"/>
      <c r="BA51" s="87"/>
      <c r="BB51" s="91"/>
      <c r="BC51" s="91"/>
      <c r="BD51" s="91"/>
      <c r="BE51" s="91"/>
      <c r="BF51" s="91"/>
      <c r="BG51" s="87"/>
      <c r="BH51" s="87"/>
      <c r="BI51" s="87"/>
      <c r="BJ51" s="87"/>
      <c r="BK51" s="122"/>
      <c r="BL51" s="91"/>
      <c r="BM51" s="91"/>
      <c r="BN51" s="91"/>
      <c r="BO51" s="91"/>
      <c r="BP51" s="91"/>
      <c r="BQ51" s="89"/>
      <c r="BR51" s="87"/>
      <c r="BS51" s="87"/>
      <c r="BT51" s="87"/>
      <c r="BU51" s="87"/>
      <c r="BV51" s="92"/>
      <c r="BW51" s="92"/>
      <c r="BX51" s="92"/>
      <c r="BY51" s="92"/>
      <c r="BZ51" s="92"/>
      <c r="CA51" s="87"/>
      <c r="CB51" s="87"/>
      <c r="CC51" s="87"/>
      <c r="CD51" s="87"/>
      <c r="CE51" s="87"/>
      <c r="CF51" s="92"/>
      <c r="CG51" s="92"/>
      <c r="CH51" s="92"/>
      <c r="CI51" s="92"/>
      <c r="CJ51" s="92"/>
      <c r="CK51" s="89"/>
      <c r="CL51" s="87"/>
      <c r="CM51" s="87"/>
      <c r="CN51" s="87"/>
      <c r="CO51" s="87"/>
      <c r="CP51" s="126"/>
      <c r="CQ51" s="127"/>
      <c r="CR51" s="127"/>
      <c r="CS51" s="127"/>
      <c r="CT51" s="127"/>
    </row>
    <row r="52" spans="1:353" s="82" customFormat="1" ht="19.95" customHeight="1" x14ac:dyDescent="0.3">
      <c r="B52" s="84" t="s">
        <v>106</v>
      </c>
      <c r="C52" s="93" t="s">
        <v>144</v>
      </c>
      <c r="D52" s="96" t="s">
        <v>61</v>
      </c>
      <c r="E52" s="71">
        <v>46318</v>
      </c>
      <c r="F52" s="72">
        <v>46318</v>
      </c>
      <c r="G52" s="73">
        <f t="shared" si="8"/>
        <v>1</v>
      </c>
      <c r="H52" s="85">
        <v>0</v>
      </c>
      <c r="I52" s="86"/>
      <c r="J52" s="87"/>
      <c r="K52" s="87"/>
      <c r="L52" s="87"/>
      <c r="M52" s="87"/>
      <c r="N52" s="88"/>
      <c r="O52" s="88"/>
      <c r="P52" s="88"/>
      <c r="Q52" s="88"/>
      <c r="R52" s="88"/>
      <c r="S52" s="87"/>
      <c r="T52" s="87"/>
      <c r="U52" s="87"/>
      <c r="V52" s="87"/>
      <c r="W52" s="87"/>
      <c r="X52" s="88"/>
      <c r="Y52" s="88"/>
      <c r="Z52" s="88"/>
      <c r="AA52" s="88"/>
      <c r="AB52" s="88"/>
      <c r="AC52" s="89"/>
      <c r="AD52" s="87"/>
      <c r="AE52" s="87"/>
      <c r="AF52" s="87"/>
      <c r="AG52" s="87"/>
      <c r="AH52" s="90"/>
      <c r="AI52" s="90"/>
      <c r="AJ52" s="90"/>
      <c r="AK52" s="90"/>
      <c r="AL52" s="90"/>
      <c r="AM52" s="87"/>
      <c r="AN52" s="87"/>
      <c r="AO52" s="87"/>
      <c r="AP52" s="87"/>
      <c r="AQ52" s="87"/>
      <c r="AR52" s="90"/>
      <c r="AS52" s="90"/>
      <c r="AT52" s="90"/>
      <c r="AU52" s="90"/>
      <c r="AV52" s="90"/>
      <c r="AW52" s="89"/>
      <c r="AX52" s="87"/>
      <c r="AY52" s="87"/>
      <c r="AZ52" s="87"/>
      <c r="BA52" s="87"/>
      <c r="BB52" s="91"/>
      <c r="BC52" s="91"/>
      <c r="BD52" s="91"/>
      <c r="BE52" s="91"/>
      <c r="BF52" s="91"/>
      <c r="BG52" s="87"/>
      <c r="BH52" s="87"/>
      <c r="BI52" s="87"/>
      <c r="BJ52" s="87"/>
      <c r="BK52" s="122"/>
      <c r="BL52" s="91"/>
      <c r="BM52" s="91"/>
      <c r="BN52" s="91"/>
      <c r="BO52" s="91"/>
      <c r="BP52" s="91"/>
      <c r="BQ52" s="89"/>
      <c r="BR52" s="87"/>
      <c r="BS52" s="87"/>
      <c r="BT52" s="87"/>
      <c r="BU52" s="87"/>
      <c r="BV52" s="92"/>
      <c r="BW52" s="92"/>
      <c r="BX52" s="92"/>
      <c r="BY52" s="92"/>
      <c r="BZ52" s="92"/>
      <c r="CA52" s="87"/>
      <c r="CB52" s="87"/>
      <c r="CC52" s="87"/>
      <c r="CD52" s="87"/>
      <c r="CE52" s="87"/>
      <c r="CF52" s="92"/>
      <c r="CG52" s="92"/>
      <c r="CH52" s="92"/>
      <c r="CI52" s="92"/>
      <c r="CJ52" s="92"/>
      <c r="CK52" s="89"/>
      <c r="CL52" s="87"/>
      <c r="CM52" s="87"/>
      <c r="CN52" s="87"/>
      <c r="CO52" s="87"/>
      <c r="CP52" s="126"/>
      <c r="CQ52" s="127"/>
      <c r="CR52" s="127"/>
      <c r="CS52" s="127"/>
      <c r="CT52" s="127"/>
    </row>
    <row r="53" spans="1:353" s="83" customFormat="1" ht="19.95" customHeight="1" x14ac:dyDescent="0.3">
      <c r="A53" s="82"/>
      <c r="B53" s="107" t="s">
        <v>107</v>
      </c>
      <c r="C53" s="108" t="s">
        <v>145</v>
      </c>
      <c r="D53" s="109"/>
      <c r="E53" s="109"/>
      <c r="F53" s="109"/>
      <c r="G53" s="111" t="str">
        <f t="shared" si="4"/>
        <v/>
      </c>
      <c r="H53" s="113"/>
      <c r="I53" s="114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115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115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115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115"/>
      <c r="CL53" s="92"/>
      <c r="CM53" s="92"/>
      <c r="CN53" s="92"/>
      <c r="CO53" s="92"/>
      <c r="CP53" s="115"/>
      <c r="CQ53" s="92"/>
      <c r="CR53" s="92"/>
      <c r="CS53" s="92"/>
      <c r="CT53" s="9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  <c r="EN53" s="82"/>
      <c r="EO53" s="82"/>
      <c r="EP53" s="82"/>
      <c r="EQ53" s="82"/>
      <c r="ER53" s="82"/>
      <c r="ES53" s="82"/>
      <c r="ET53" s="82"/>
      <c r="EU53" s="82"/>
      <c r="EV53" s="82"/>
      <c r="EW53" s="82"/>
      <c r="EX53" s="82"/>
      <c r="EY53" s="82"/>
      <c r="EZ53" s="82"/>
      <c r="FA53" s="82"/>
      <c r="FB53" s="82"/>
      <c r="FC53" s="82"/>
      <c r="FD53" s="82"/>
      <c r="FE53" s="82"/>
      <c r="FF53" s="82"/>
      <c r="FG53" s="82"/>
      <c r="FH53" s="82"/>
      <c r="FI53" s="82"/>
      <c r="FJ53" s="82"/>
      <c r="FK53" s="82"/>
      <c r="FL53" s="82"/>
      <c r="FM53" s="82"/>
      <c r="FN53" s="82"/>
      <c r="FO53" s="82"/>
      <c r="FP53" s="82"/>
      <c r="FQ53" s="82"/>
      <c r="FR53" s="82"/>
      <c r="FS53" s="82"/>
      <c r="FT53" s="82"/>
      <c r="FU53" s="82"/>
      <c r="FV53" s="82"/>
      <c r="FW53" s="82"/>
      <c r="FX53" s="82"/>
      <c r="FY53" s="82"/>
      <c r="FZ53" s="82"/>
      <c r="GA53" s="82"/>
      <c r="GB53" s="82"/>
      <c r="GC53" s="82"/>
      <c r="GD53" s="82"/>
      <c r="GE53" s="82"/>
      <c r="GF53" s="82"/>
      <c r="GG53" s="82"/>
      <c r="GH53" s="82"/>
      <c r="GI53" s="82"/>
      <c r="GJ53" s="82"/>
      <c r="GK53" s="82"/>
      <c r="GL53" s="82"/>
      <c r="GM53" s="82"/>
      <c r="GN53" s="82"/>
      <c r="GO53" s="82"/>
      <c r="GP53" s="82"/>
      <c r="GQ53" s="82"/>
      <c r="GR53" s="82"/>
      <c r="GS53" s="82"/>
      <c r="GT53" s="82"/>
      <c r="GU53" s="82"/>
      <c r="GV53" s="82"/>
      <c r="GW53" s="82"/>
      <c r="GX53" s="82"/>
      <c r="GY53" s="82"/>
      <c r="GZ53" s="82"/>
      <c r="HA53" s="82"/>
      <c r="HB53" s="82"/>
      <c r="HC53" s="82"/>
      <c r="HD53" s="82"/>
      <c r="HE53" s="82"/>
      <c r="HF53" s="82"/>
      <c r="HG53" s="82"/>
      <c r="HH53" s="82"/>
      <c r="HI53" s="82"/>
      <c r="HJ53" s="82"/>
      <c r="HK53" s="82"/>
      <c r="HL53" s="82"/>
      <c r="HM53" s="82"/>
      <c r="HN53" s="82"/>
      <c r="HO53" s="82"/>
      <c r="HP53" s="82"/>
      <c r="HQ53" s="82"/>
      <c r="HR53" s="82"/>
      <c r="HS53" s="82"/>
      <c r="HT53" s="82"/>
      <c r="HU53" s="82"/>
      <c r="HV53" s="82"/>
      <c r="HW53" s="82"/>
      <c r="HX53" s="82"/>
      <c r="HY53" s="82"/>
      <c r="HZ53" s="82"/>
      <c r="IA53" s="82"/>
      <c r="IB53" s="82"/>
      <c r="IC53" s="82"/>
      <c r="ID53" s="82"/>
      <c r="IE53" s="82"/>
      <c r="IF53" s="82"/>
      <c r="IG53" s="82"/>
      <c r="IH53" s="82"/>
      <c r="II53" s="82"/>
      <c r="IJ53" s="82"/>
      <c r="IK53" s="82"/>
      <c r="IL53" s="82"/>
      <c r="IM53" s="82"/>
      <c r="IN53" s="82"/>
      <c r="IO53" s="82"/>
      <c r="IP53" s="82"/>
      <c r="IQ53" s="82"/>
      <c r="IR53" s="82"/>
      <c r="IS53" s="82"/>
      <c r="IT53" s="82"/>
      <c r="IU53" s="82"/>
      <c r="IV53" s="82"/>
      <c r="IW53" s="82"/>
      <c r="IX53" s="82"/>
      <c r="IY53" s="82"/>
      <c r="IZ53" s="82"/>
      <c r="JA53" s="82"/>
      <c r="JB53" s="82"/>
      <c r="JC53" s="82"/>
      <c r="JD53" s="82"/>
      <c r="JE53" s="82"/>
      <c r="JF53" s="82"/>
      <c r="JG53" s="82"/>
      <c r="JH53" s="82"/>
      <c r="JI53" s="82"/>
      <c r="JJ53" s="82"/>
      <c r="JK53" s="82"/>
      <c r="JL53" s="82"/>
      <c r="JM53" s="82"/>
      <c r="JN53" s="82"/>
      <c r="JO53" s="82"/>
      <c r="JP53" s="82"/>
      <c r="JQ53" s="82"/>
      <c r="JR53" s="82"/>
      <c r="JS53" s="82"/>
      <c r="JT53" s="82"/>
      <c r="JU53" s="82"/>
      <c r="JV53" s="82"/>
      <c r="JW53" s="82"/>
      <c r="JX53" s="82"/>
      <c r="JY53" s="82"/>
      <c r="JZ53" s="82"/>
      <c r="KA53" s="82"/>
      <c r="KB53" s="82"/>
      <c r="KC53" s="82"/>
      <c r="KD53" s="82"/>
      <c r="KE53" s="82"/>
      <c r="KF53" s="82"/>
      <c r="KG53" s="82"/>
      <c r="KH53" s="82"/>
      <c r="KI53" s="82"/>
      <c r="KJ53" s="82"/>
      <c r="KK53" s="82"/>
      <c r="KL53" s="82"/>
      <c r="KM53" s="82"/>
      <c r="KN53" s="82"/>
      <c r="KO53" s="82"/>
      <c r="KP53" s="82"/>
      <c r="KQ53" s="82"/>
      <c r="KR53" s="82"/>
      <c r="KS53" s="82"/>
      <c r="KT53" s="82"/>
      <c r="KU53" s="82"/>
      <c r="KV53" s="82"/>
      <c r="KW53" s="82"/>
      <c r="KX53" s="82"/>
      <c r="KY53" s="82"/>
      <c r="KZ53" s="82"/>
      <c r="LA53" s="82"/>
      <c r="LB53" s="82"/>
      <c r="LC53" s="82"/>
      <c r="LD53" s="82"/>
      <c r="LE53" s="82"/>
      <c r="LF53" s="82"/>
      <c r="LG53" s="82"/>
      <c r="LH53" s="82"/>
      <c r="LI53" s="82"/>
      <c r="LJ53" s="82"/>
      <c r="LK53" s="82"/>
      <c r="LL53" s="82"/>
      <c r="LM53" s="82"/>
      <c r="LN53" s="82"/>
      <c r="LO53" s="82"/>
      <c r="LP53" s="82"/>
      <c r="LQ53" s="82"/>
      <c r="LR53" s="82"/>
      <c r="LS53" s="82"/>
      <c r="LT53" s="82"/>
      <c r="LU53" s="82"/>
      <c r="LV53" s="82"/>
      <c r="LW53" s="82"/>
      <c r="LX53" s="82"/>
      <c r="LY53" s="82"/>
      <c r="LZ53" s="82"/>
      <c r="MA53" s="82"/>
      <c r="MB53" s="82"/>
      <c r="MC53" s="82"/>
      <c r="MD53" s="82"/>
      <c r="ME53" s="82"/>
      <c r="MF53" s="82"/>
      <c r="MG53" s="82"/>
      <c r="MH53" s="82"/>
      <c r="MI53" s="82"/>
      <c r="MJ53" s="82"/>
      <c r="MK53" s="82"/>
      <c r="ML53" s="82"/>
      <c r="MM53" s="82"/>
      <c r="MN53" s="82"/>
      <c r="MO53" s="82"/>
    </row>
    <row r="54" spans="1:353" s="82" customFormat="1" ht="19.95" customHeight="1" x14ac:dyDescent="0.3">
      <c r="B54" s="84" t="s">
        <v>108</v>
      </c>
      <c r="C54" s="93" t="s">
        <v>146</v>
      </c>
      <c r="D54" s="96" t="s">
        <v>60</v>
      </c>
      <c r="E54" s="71">
        <v>46321</v>
      </c>
      <c r="F54" s="72">
        <v>46322</v>
      </c>
      <c r="G54" s="73">
        <f t="shared" ref="G54:G62" si="9">IF(OR(E54="",F54=""),"",NETWORKDAYS(E54,F54))</f>
        <v>2</v>
      </c>
      <c r="H54" s="85">
        <v>0</v>
      </c>
      <c r="I54" s="86"/>
      <c r="J54" s="87"/>
      <c r="K54" s="87"/>
      <c r="L54" s="87"/>
      <c r="M54" s="87"/>
      <c r="N54" s="88"/>
      <c r="O54" s="88"/>
      <c r="P54" s="88"/>
      <c r="Q54" s="88"/>
      <c r="R54" s="88"/>
      <c r="S54" s="87"/>
      <c r="T54" s="87"/>
      <c r="U54" s="87"/>
      <c r="V54" s="87"/>
      <c r="W54" s="87"/>
      <c r="X54" s="88"/>
      <c r="Y54" s="88"/>
      <c r="Z54" s="88"/>
      <c r="AA54" s="88"/>
      <c r="AB54" s="88"/>
      <c r="AC54" s="89"/>
      <c r="AD54" s="87"/>
      <c r="AE54" s="87"/>
      <c r="AF54" s="87"/>
      <c r="AG54" s="87"/>
      <c r="AH54" s="90"/>
      <c r="AI54" s="90"/>
      <c r="AJ54" s="90"/>
      <c r="AK54" s="90"/>
      <c r="AL54" s="90"/>
      <c r="AM54" s="87"/>
      <c r="AN54" s="87"/>
      <c r="AO54" s="87"/>
      <c r="AP54" s="87"/>
      <c r="AQ54" s="87"/>
      <c r="AR54" s="90"/>
      <c r="AS54" s="90"/>
      <c r="AT54" s="90"/>
      <c r="AU54" s="90"/>
      <c r="AV54" s="90"/>
      <c r="AW54" s="89"/>
      <c r="AX54" s="87"/>
      <c r="AY54" s="87"/>
      <c r="AZ54" s="87"/>
      <c r="BA54" s="87"/>
      <c r="BB54" s="91"/>
      <c r="BC54" s="91"/>
      <c r="BD54" s="91"/>
      <c r="BE54" s="91"/>
      <c r="BF54" s="91"/>
      <c r="BG54" s="87"/>
      <c r="BH54" s="87"/>
      <c r="BI54" s="87"/>
      <c r="BJ54" s="87"/>
      <c r="BK54" s="87"/>
      <c r="BL54" s="122"/>
      <c r="BM54" s="122"/>
      <c r="BN54" s="91"/>
      <c r="BO54" s="91"/>
      <c r="BP54" s="91"/>
      <c r="BQ54" s="89"/>
      <c r="BR54" s="87"/>
      <c r="BS54" s="87"/>
      <c r="BT54" s="87"/>
      <c r="BU54" s="87"/>
      <c r="BV54" s="92"/>
      <c r="BW54" s="92"/>
      <c r="BX54" s="92"/>
      <c r="BY54" s="92"/>
      <c r="BZ54" s="92"/>
      <c r="CA54" s="87"/>
      <c r="CB54" s="87"/>
      <c r="CC54" s="87"/>
      <c r="CD54" s="87"/>
      <c r="CE54" s="87"/>
      <c r="CF54" s="92"/>
      <c r="CG54" s="92"/>
      <c r="CH54" s="92"/>
      <c r="CI54" s="92"/>
      <c r="CJ54" s="92"/>
      <c r="CK54" s="89"/>
      <c r="CL54" s="87"/>
      <c r="CM54" s="87"/>
      <c r="CN54" s="87"/>
      <c r="CO54" s="87"/>
      <c r="CP54" s="126"/>
      <c r="CQ54" s="127"/>
      <c r="CR54" s="127"/>
      <c r="CS54" s="127"/>
      <c r="CT54" s="127"/>
    </row>
    <row r="55" spans="1:353" s="82" customFormat="1" ht="19.95" customHeight="1" x14ac:dyDescent="0.3">
      <c r="B55" s="84" t="s">
        <v>109</v>
      </c>
      <c r="C55" s="93" t="s">
        <v>196</v>
      </c>
      <c r="D55" s="96" t="s">
        <v>55</v>
      </c>
      <c r="E55" s="71">
        <v>46323</v>
      </c>
      <c r="F55" s="72">
        <v>46325</v>
      </c>
      <c r="G55" s="73">
        <f t="shared" si="9"/>
        <v>3</v>
      </c>
      <c r="H55" s="85">
        <v>0</v>
      </c>
      <c r="I55" s="86"/>
      <c r="J55" s="87"/>
      <c r="K55" s="87"/>
      <c r="L55" s="87"/>
      <c r="M55" s="87"/>
      <c r="N55" s="88"/>
      <c r="O55" s="88"/>
      <c r="P55" s="88"/>
      <c r="Q55" s="88"/>
      <c r="R55" s="88"/>
      <c r="S55" s="87"/>
      <c r="T55" s="87"/>
      <c r="U55" s="87"/>
      <c r="V55" s="87"/>
      <c r="W55" s="87"/>
      <c r="X55" s="88"/>
      <c r="Y55" s="88"/>
      <c r="Z55" s="88"/>
      <c r="AA55" s="88"/>
      <c r="AB55" s="88"/>
      <c r="AC55" s="89"/>
      <c r="AD55" s="87"/>
      <c r="AE55" s="87"/>
      <c r="AF55" s="87"/>
      <c r="AG55" s="87"/>
      <c r="AH55" s="90"/>
      <c r="AI55" s="90"/>
      <c r="AJ55" s="90"/>
      <c r="AK55" s="90"/>
      <c r="AL55" s="90"/>
      <c r="AM55" s="87"/>
      <c r="AN55" s="87"/>
      <c r="AO55" s="87"/>
      <c r="AP55" s="87"/>
      <c r="AQ55" s="87"/>
      <c r="AR55" s="90"/>
      <c r="AS55" s="90"/>
      <c r="AT55" s="90"/>
      <c r="AU55" s="90"/>
      <c r="AV55" s="90"/>
      <c r="AW55" s="89"/>
      <c r="AX55" s="87"/>
      <c r="AY55" s="87"/>
      <c r="AZ55" s="87"/>
      <c r="BA55" s="87"/>
      <c r="BB55" s="91"/>
      <c r="BC55" s="91"/>
      <c r="BD55" s="91"/>
      <c r="BE55" s="91"/>
      <c r="BF55" s="91"/>
      <c r="BG55" s="87"/>
      <c r="BH55" s="87"/>
      <c r="BI55" s="87"/>
      <c r="BJ55" s="87"/>
      <c r="BK55" s="87"/>
      <c r="BL55" s="91"/>
      <c r="BM55" s="91"/>
      <c r="BN55" s="122"/>
      <c r="BO55" s="122"/>
      <c r="BP55" s="122"/>
      <c r="BQ55" s="89"/>
      <c r="BR55" s="87"/>
      <c r="BS55" s="87"/>
      <c r="BT55" s="87"/>
      <c r="BU55" s="87"/>
      <c r="BV55" s="92"/>
      <c r="BW55" s="92"/>
      <c r="BX55" s="92"/>
      <c r="BY55" s="92"/>
      <c r="BZ55" s="92"/>
      <c r="CA55" s="87"/>
      <c r="CB55" s="87"/>
      <c r="CC55" s="87"/>
      <c r="CD55" s="87"/>
      <c r="CE55" s="87"/>
      <c r="CF55" s="92"/>
      <c r="CG55" s="92"/>
      <c r="CH55" s="92"/>
      <c r="CI55" s="92"/>
      <c r="CJ55" s="92"/>
      <c r="CK55" s="89"/>
      <c r="CL55" s="87"/>
      <c r="CM55" s="87"/>
      <c r="CN55" s="87"/>
      <c r="CO55" s="87"/>
      <c r="CP55" s="126"/>
      <c r="CQ55" s="127"/>
      <c r="CR55" s="127"/>
      <c r="CS55" s="127"/>
      <c r="CT55" s="127"/>
    </row>
    <row r="56" spans="1:353" s="82" customFormat="1" ht="19.95" customHeight="1" x14ac:dyDescent="0.3">
      <c r="B56" s="84" t="s">
        <v>110</v>
      </c>
      <c r="C56" s="93" t="s">
        <v>147</v>
      </c>
      <c r="D56" s="96" t="s">
        <v>55</v>
      </c>
      <c r="E56" s="71">
        <v>46321</v>
      </c>
      <c r="F56" s="72">
        <v>46325</v>
      </c>
      <c r="G56" s="73">
        <f t="shared" si="9"/>
        <v>5</v>
      </c>
      <c r="H56" s="85">
        <v>0</v>
      </c>
      <c r="I56" s="86"/>
      <c r="J56" s="87"/>
      <c r="K56" s="87"/>
      <c r="L56" s="87"/>
      <c r="M56" s="87"/>
      <c r="N56" s="88"/>
      <c r="O56" s="88"/>
      <c r="P56" s="88"/>
      <c r="Q56" s="88"/>
      <c r="R56" s="88"/>
      <c r="S56" s="87"/>
      <c r="T56" s="87"/>
      <c r="U56" s="87"/>
      <c r="V56" s="87"/>
      <c r="W56" s="87"/>
      <c r="X56" s="88"/>
      <c r="Y56" s="88"/>
      <c r="Z56" s="88"/>
      <c r="AA56" s="88"/>
      <c r="AB56" s="88"/>
      <c r="AC56" s="89"/>
      <c r="AD56" s="87"/>
      <c r="AE56" s="87"/>
      <c r="AF56" s="87"/>
      <c r="AG56" s="87"/>
      <c r="AH56" s="90"/>
      <c r="AI56" s="90"/>
      <c r="AJ56" s="90"/>
      <c r="AK56" s="90"/>
      <c r="AL56" s="90"/>
      <c r="AM56" s="87"/>
      <c r="AN56" s="87"/>
      <c r="AO56" s="87"/>
      <c r="AP56" s="87"/>
      <c r="AQ56" s="87"/>
      <c r="AR56" s="90"/>
      <c r="AS56" s="90"/>
      <c r="AT56" s="90"/>
      <c r="AU56" s="90"/>
      <c r="AV56" s="90"/>
      <c r="AW56" s="89"/>
      <c r="AX56" s="87"/>
      <c r="AY56" s="87"/>
      <c r="AZ56" s="87"/>
      <c r="BA56" s="87"/>
      <c r="BB56" s="91"/>
      <c r="BC56" s="91"/>
      <c r="BD56" s="91"/>
      <c r="BE56" s="91"/>
      <c r="BF56" s="91"/>
      <c r="BG56" s="87"/>
      <c r="BH56" s="87"/>
      <c r="BI56" s="87"/>
      <c r="BJ56" s="87"/>
      <c r="BK56" s="87"/>
      <c r="BL56" s="122"/>
      <c r="BM56" s="122"/>
      <c r="BN56" s="122"/>
      <c r="BO56" s="122"/>
      <c r="BP56" s="122"/>
      <c r="BQ56" s="89"/>
      <c r="BR56" s="87"/>
      <c r="BS56" s="87"/>
      <c r="BT56" s="87"/>
      <c r="BU56" s="87"/>
      <c r="BV56" s="92"/>
      <c r="BW56" s="92"/>
      <c r="BX56" s="92"/>
      <c r="BY56" s="92"/>
      <c r="BZ56" s="92"/>
      <c r="CA56" s="87"/>
      <c r="CB56" s="87"/>
      <c r="CC56" s="87"/>
      <c r="CD56" s="87"/>
      <c r="CE56" s="87"/>
      <c r="CF56" s="92"/>
      <c r="CG56" s="92"/>
      <c r="CH56" s="92"/>
      <c r="CI56" s="92"/>
      <c r="CJ56" s="92"/>
      <c r="CK56" s="89"/>
      <c r="CL56" s="87"/>
      <c r="CM56" s="87"/>
      <c r="CN56" s="87"/>
      <c r="CO56" s="87"/>
      <c r="CP56" s="126"/>
      <c r="CQ56" s="127"/>
      <c r="CR56" s="127"/>
      <c r="CS56" s="127"/>
      <c r="CT56" s="127"/>
    </row>
    <row r="57" spans="1:353" s="82" customFormat="1" ht="19.95" customHeight="1" x14ac:dyDescent="0.3">
      <c r="B57" s="84" t="s">
        <v>111</v>
      </c>
      <c r="C57" s="93" t="s">
        <v>148</v>
      </c>
      <c r="D57" s="96" t="s">
        <v>55</v>
      </c>
      <c r="E57" s="71">
        <v>46328</v>
      </c>
      <c r="F57" s="72">
        <v>46330</v>
      </c>
      <c r="G57" s="73">
        <f t="shared" si="9"/>
        <v>3</v>
      </c>
      <c r="H57" s="85">
        <v>0</v>
      </c>
      <c r="I57" s="86"/>
      <c r="J57" s="87"/>
      <c r="K57" s="87"/>
      <c r="L57" s="87"/>
      <c r="M57" s="87"/>
      <c r="N57" s="88"/>
      <c r="O57" s="88"/>
      <c r="P57" s="88"/>
      <c r="Q57" s="88"/>
      <c r="R57" s="88"/>
      <c r="S57" s="87"/>
      <c r="T57" s="87"/>
      <c r="U57" s="87"/>
      <c r="V57" s="87"/>
      <c r="W57" s="87"/>
      <c r="X57" s="88"/>
      <c r="Y57" s="88"/>
      <c r="Z57" s="88"/>
      <c r="AA57" s="88"/>
      <c r="AB57" s="88"/>
      <c r="AC57" s="89"/>
      <c r="AD57" s="87"/>
      <c r="AE57" s="87"/>
      <c r="AF57" s="87"/>
      <c r="AG57" s="87"/>
      <c r="AH57" s="90"/>
      <c r="AI57" s="90"/>
      <c r="AJ57" s="90"/>
      <c r="AK57" s="90"/>
      <c r="AL57" s="90"/>
      <c r="AM57" s="87"/>
      <c r="AN57" s="87"/>
      <c r="AO57" s="87"/>
      <c r="AP57" s="87"/>
      <c r="AQ57" s="87"/>
      <c r="AR57" s="90"/>
      <c r="AS57" s="90"/>
      <c r="AT57" s="90"/>
      <c r="AU57" s="90"/>
      <c r="AV57" s="90"/>
      <c r="AW57" s="89"/>
      <c r="AX57" s="87"/>
      <c r="AY57" s="87"/>
      <c r="AZ57" s="87"/>
      <c r="BA57" s="87"/>
      <c r="BB57" s="91"/>
      <c r="BC57" s="91"/>
      <c r="BD57" s="91"/>
      <c r="BE57" s="91"/>
      <c r="BF57" s="91"/>
      <c r="BG57" s="87"/>
      <c r="BH57" s="87"/>
      <c r="BI57" s="87"/>
      <c r="BJ57" s="87"/>
      <c r="BK57" s="87"/>
      <c r="BL57" s="91"/>
      <c r="BM57" s="91"/>
      <c r="BN57" s="91"/>
      <c r="BO57" s="91"/>
      <c r="BP57" s="91"/>
      <c r="BQ57" s="122"/>
      <c r="BR57" s="122"/>
      <c r="BS57" s="122"/>
      <c r="BT57" s="87"/>
      <c r="BU57" s="87"/>
      <c r="BV57" s="92"/>
      <c r="BW57" s="92"/>
      <c r="BX57" s="92"/>
      <c r="BY57" s="92"/>
      <c r="BZ57" s="92"/>
      <c r="CA57" s="87"/>
      <c r="CB57" s="87"/>
      <c r="CC57" s="87"/>
      <c r="CD57" s="87"/>
      <c r="CE57" s="87"/>
      <c r="CF57" s="92"/>
      <c r="CG57" s="92"/>
      <c r="CH57" s="92"/>
      <c r="CI57" s="92"/>
      <c r="CJ57" s="92"/>
      <c r="CK57" s="89"/>
      <c r="CL57" s="87"/>
      <c r="CM57" s="87"/>
      <c r="CN57" s="87"/>
      <c r="CO57" s="87"/>
      <c r="CP57" s="126"/>
      <c r="CQ57" s="127"/>
      <c r="CR57" s="127"/>
      <c r="CS57" s="127"/>
      <c r="CT57" s="127"/>
    </row>
    <row r="58" spans="1:353" s="82" customFormat="1" ht="19.95" customHeight="1" x14ac:dyDescent="0.3">
      <c r="B58" s="84" t="s">
        <v>112</v>
      </c>
      <c r="C58" s="93" t="s">
        <v>149</v>
      </c>
      <c r="D58" s="96" t="s">
        <v>55</v>
      </c>
      <c r="E58" s="71">
        <v>46331</v>
      </c>
      <c r="F58" s="72">
        <v>46335</v>
      </c>
      <c r="G58" s="73">
        <f t="shared" si="9"/>
        <v>3</v>
      </c>
      <c r="H58" s="85">
        <v>0</v>
      </c>
      <c r="I58" s="86"/>
      <c r="J58" s="87"/>
      <c r="K58" s="87"/>
      <c r="L58" s="87"/>
      <c r="M58" s="87"/>
      <c r="N58" s="88"/>
      <c r="O58" s="88"/>
      <c r="P58" s="88"/>
      <c r="Q58" s="88"/>
      <c r="R58" s="88"/>
      <c r="S58" s="87"/>
      <c r="T58" s="87"/>
      <c r="U58" s="87"/>
      <c r="V58" s="87"/>
      <c r="W58" s="87"/>
      <c r="X58" s="88"/>
      <c r="Y58" s="88"/>
      <c r="Z58" s="88"/>
      <c r="AA58" s="88"/>
      <c r="AB58" s="88"/>
      <c r="AC58" s="89"/>
      <c r="AD58" s="87"/>
      <c r="AE58" s="87"/>
      <c r="AF58" s="87"/>
      <c r="AG58" s="87"/>
      <c r="AH58" s="90"/>
      <c r="AI58" s="90"/>
      <c r="AJ58" s="90"/>
      <c r="AK58" s="90"/>
      <c r="AL58" s="90"/>
      <c r="AM58" s="87"/>
      <c r="AN58" s="87"/>
      <c r="AO58" s="87"/>
      <c r="AP58" s="87"/>
      <c r="AQ58" s="87"/>
      <c r="AR58" s="90"/>
      <c r="AS58" s="90"/>
      <c r="AT58" s="90"/>
      <c r="AU58" s="90"/>
      <c r="AV58" s="90"/>
      <c r="AW58" s="89"/>
      <c r="AX58" s="87"/>
      <c r="AY58" s="87"/>
      <c r="AZ58" s="87"/>
      <c r="BA58" s="87"/>
      <c r="BB58" s="91"/>
      <c r="BC58" s="91"/>
      <c r="BD58" s="91"/>
      <c r="BE58" s="91"/>
      <c r="BF58" s="91"/>
      <c r="BG58" s="87"/>
      <c r="BH58" s="87"/>
      <c r="BI58" s="87"/>
      <c r="BJ58" s="87"/>
      <c r="BK58" s="87"/>
      <c r="BL58" s="91"/>
      <c r="BM58" s="91"/>
      <c r="BN58" s="91"/>
      <c r="BO58" s="91"/>
      <c r="BP58" s="91"/>
      <c r="BQ58" s="87"/>
      <c r="BR58" s="87"/>
      <c r="BS58" s="87"/>
      <c r="BT58" s="122"/>
      <c r="BU58" s="122"/>
      <c r="BV58" s="122"/>
      <c r="BW58" s="92"/>
      <c r="BX58" s="92"/>
      <c r="BY58" s="92"/>
      <c r="BZ58" s="92"/>
      <c r="CA58" s="87"/>
      <c r="CB58" s="87"/>
      <c r="CC58" s="87"/>
      <c r="CD58" s="87"/>
      <c r="CE58" s="87"/>
      <c r="CF58" s="92"/>
      <c r="CG58" s="92"/>
      <c r="CH58" s="92"/>
      <c r="CI58" s="92"/>
      <c r="CJ58" s="92"/>
      <c r="CK58" s="89"/>
      <c r="CL58" s="87"/>
      <c r="CM58" s="87"/>
      <c r="CN58" s="87"/>
      <c r="CO58" s="87"/>
      <c r="CP58" s="126"/>
      <c r="CQ58" s="127"/>
      <c r="CR58" s="127"/>
      <c r="CS58" s="127"/>
      <c r="CT58" s="127"/>
    </row>
    <row r="59" spans="1:353" s="82" customFormat="1" ht="19.95" customHeight="1" x14ac:dyDescent="0.3">
      <c r="B59" s="84" t="s">
        <v>113</v>
      </c>
      <c r="C59" s="93" t="s">
        <v>150</v>
      </c>
      <c r="D59" s="96" t="s">
        <v>55</v>
      </c>
      <c r="E59" s="71">
        <v>46336</v>
      </c>
      <c r="F59" s="72">
        <v>46337</v>
      </c>
      <c r="G59" s="73">
        <f t="shared" si="9"/>
        <v>2</v>
      </c>
      <c r="H59" s="85">
        <v>0</v>
      </c>
      <c r="I59" s="86"/>
      <c r="J59" s="87"/>
      <c r="K59" s="87"/>
      <c r="L59" s="87"/>
      <c r="M59" s="87"/>
      <c r="N59" s="88"/>
      <c r="O59" s="88"/>
      <c r="P59" s="88"/>
      <c r="Q59" s="88"/>
      <c r="R59" s="88"/>
      <c r="S59" s="87"/>
      <c r="T59" s="87"/>
      <c r="U59" s="87"/>
      <c r="V59" s="87"/>
      <c r="W59" s="87"/>
      <c r="X59" s="88"/>
      <c r="Y59" s="88"/>
      <c r="Z59" s="88"/>
      <c r="AA59" s="88"/>
      <c r="AB59" s="88"/>
      <c r="AC59" s="89"/>
      <c r="AD59" s="87"/>
      <c r="AE59" s="87"/>
      <c r="AF59" s="87"/>
      <c r="AG59" s="87"/>
      <c r="AH59" s="90"/>
      <c r="AI59" s="90"/>
      <c r="AJ59" s="90"/>
      <c r="AK59" s="90"/>
      <c r="AL59" s="90"/>
      <c r="AM59" s="87"/>
      <c r="AN59" s="87"/>
      <c r="AO59" s="87"/>
      <c r="AP59" s="87"/>
      <c r="AQ59" s="87"/>
      <c r="AR59" s="90"/>
      <c r="AS59" s="90"/>
      <c r="AT59" s="90"/>
      <c r="AU59" s="90"/>
      <c r="AV59" s="90"/>
      <c r="AW59" s="89"/>
      <c r="AX59" s="87"/>
      <c r="AY59" s="87"/>
      <c r="AZ59" s="87"/>
      <c r="BA59" s="87"/>
      <c r="BB59" s="91"/>
      <c r="BC59" s="91"/>
      <c r="BD59" s="91"/>
      <c r="BE59" s="91"/>
      <c r="BF59" s="91"/>
      <c r="BG59" s="87"/>
      <c r="BH59" s="87"/>
      <c r="BI59" s="87"/>
      <c r="BJ59" s="87"/>
      <c r="BK59" s="87"/>
      <c r="BL59" s="91"/>
      <c r="BM59" s="91"/>
      <c r="BN59" s="91"/>
      <c r="BO59" s="91"/>
      <c r="BP59" s="91"/>
      <c r="BQ59" s="87"/>
      <c r="BR59" s="87"/>
      <c r="BS59" s="87"/>
      <c r="BT59" s="87"/>
      <c r="BU59" s="87"/>
      <c r="BV59" s="92"/>
      <c r="BW59" s="122"/>
      <c r="BX59" s="122"/>
      <c r="BY59" s="92"/>
      <c r="BZ59" s="92"/>
      <c r="CA59" s="87"/>
      <c r="CB59" s="87"/>
      <c r="CC59" s="87"/>
      <c r="CD59" s="87"/>
      <c r="CE59" s="87"/>
      <c r="CF59" s="92"/>
      <c r="CG59" s="92"/>
      <c r="CH59" s="92"/>
      <c r="CI59" s="92"/>
      <c r="CJ59" s="92"/>
      <c r="CK59" s="89"/>
      <c r="CL59" s="87"/>
      <c r="CM59" s="87"/>
      <c r="CN59" s="87"/>
      <c r="CO59" s="87"/>
      <c r="CP59" s="126"/>
      <c r="CQ59" s="127"/>
      <c r="CR59" s="127"/>
      <c r="CS59" s="127"/>
      <c r="CT59" s="127"/>
    </row>
    <row r="60" spans="1:353" s="82" customFormat="1" ht="19.95" customHeight="1" x14ac:dyDescent="0.3">
      <c r="B60" s="84" t="s">
        <v>114</v>
      </c>
      <c r="C60" s="93" t="s">
        <v>151</v>
      </c>
      <c r="D60" s="96" t="s">
        <v>60</v>
      </c>
      <c r="E60" s="71">
        <v>46336</v>
      </c>
      <c r="F60" s="72">
        <v>46337</v>
      </c>
      <c r="G60" s="73">
        <f t="shared" si="9"/>
        <v>2</v>
      </c>
      <c r="H60" s="85">
        <v>0</v>
      </c>
      <c r="I60" s="86"/>
      <c r="J60" s="87"/>
      <c r="K60" s="87"/>
      <c r="L60" s="87"/>
      <c r="M60" s="87"/>
      <c r="N60" s="88"/>
      <c r="O60" s="88"/>
      <c r="P60" s="88"/>
      <c r="Q60" s="88"/>
      <c r="R60" s="88"/>
      <c r="S60" s="87"/>
      <c r="T60" s="87"/>
      <c r="U60" s="87"/>
      <c r="V60" s="87"/>
      <c r="W60" s="87"/>
      <c r="X60" s="88"/>
      <c r="Y60" s="88"/>
      <c r="Z60" s="88"/>
      <c r="AA60" s="88"/>
      <c r="AB60" s="88"/>
      <c r="AC60" s="89"/>
      <c r="AD60" s="87"/>
      <c r="AE60" s="87"/>
      <c r="AF60" s="87"/>
      <c r="AG60" s="87"/>
      <c r="AH60" s="90"/>
      <c r="AI60" s="90"/>
      <c r="AJ60" s="90"/>
      <c r="AK60" s="90"/>
      <c r="AL60" s="90"/>
      <c r="AM60" s="87"/>
      <c r="AN60" s="87"/>
      <c r="AO60" s="87"/>
      <c r="AP60" s="87"/>
      <c r="AQ60" s="87"/>
      <c r="AR60" s="90"/>
      <c r="AS60" s="90"/>
      <c r="AT60" s="90"/>
      <c r="AU60" s="90"/>
      <c r="AV60" s="90"/>
      <c r="AW60" s="89"/>
      <c r="AX60" s="87"/>
      <c r="AY60" s="87"/>
      <c r="AZ60" s="87"/>
      <c r="BA60" s="87"/>
      <c r="BB60" s="91"/>
      <c r="BC60" s="91"/>
      <c r="BD60" s="91"/>
      <c r="BE60" s="91"/>
      <c r="BF60" s="91"/>
      <c r="BG60" s="87"/>
      <c r="BH60" s="87"/>
      <c r="BI60" s="87"/>
      <c r="BJ60" s="87"/>
      <c r="BK60" s="87"/>
      <c r="BL60" s="91"/>
      <c r="BM60" s="91"/>
      <c r="BN60" s="91"/>
      <c r="BO60" s="91"/>
      <c r="BP60" s="91"/>
      <c r="BQ60" s="87"/>
      <c r="BR60" s="87"/>
      <c r="BS60" s="87"/>
      <c r="BT60" s="87"/>
      <c r="BU60" s="87"/>
      <c r="BV60" s="92"/>
      <c r="BW60" s="122"/>
      <c r="BX60" s="122"/>
      <c r="BY60" s="92"/>
      <c r="BZ60" s="92"/>
      <c r="CA60" s="87"/>
      <c r="CB60" s="87"/>
      <c r="CC60" s="87"/>
      <c r="CD60" s="87"/>
      <c r="CE60" s="87"/>
      <c r="CF60" s="92"/>
      <c r="CG60" s="92"/>
      <c r="CH60" s="92"/>
      <c r="CI60" s="92"/>
      <c r="CJ60" s="92"/>
      <c r="CK60" s="89"/>
      <c r="CL60" s="87"/>
      <c r="CM60" s="87"/>
      <c r="CN60" s="87"/>
      <c r="CO60" s="87"/>
      <c r="CP60" s="126"/>
      <c r="CQ60" s="127"/>
      <c r="CR60" s="127"/>
      <c r="CS60" s="127"/>
      <c r="CT60" s="127"/>
    </row>
    <row r="61" spans="1:353" s="82" customFormat="1" ht="19.95" customHeight="1" x14ac:dyDescent="0.3">
      <c r="B61" s="84" t="s">
        <v>115</v>
      </c>
      <c r="C61" s="93" t="s">
        <v>152</v>
      </c>
      <c r="D61" s="96" t="s">
        <v>60</v>
      </c>
      <c r="E61" s="71">
        <v>46338</v>
      </c>
      <c r="F61" s="72">
        <v>46339</v>
      </c>
      <c r="G61" s="73">
        <f t="shared" si="9"/>
        <v>2</v>
      </c>
      <c r="H61" s="85">
        <v>0</v>
      </c>
      <c r="I61" s="86"/>
      <c r="J61" s="87"/>
      <c r="K61" s="87"/>
      <c r="L61" s="87"/>
      <c r="M61" s="87"/>
      <c r="N61" s="88"/>
      <c r="O61" s="88"/>
      <c r="P61" s="88"/>
      <c r="Q61" s="88"/>
      <c r="R61" s="88"/>
      <c r="S61" s="87"/>
      <c r="T61" s="87"/>
      <c r="U61" s="87"/>
      <c r="V61" s="87"/>
      <c r="W61" s="87"/>
      <c r="X61" s="88"/>
      <c r="Y61" s="88"/>
      <c r="Z61" s="88"/>
      <c r="AA61" s="88"/>
      <c r="AB61" s="88"/>
      <c r="AC61" s="89"/>
      <c r="AD61" s="87"/>
      <c r="AE61" s="87"/>
      <c r="AF61" s="87"/>
      <c r="AG61" s="87"/>
      <c r="AH61" s="90"/>
      <c r="AI61" s="90"/>
      <c r="AJ61" s="90"/>
      <c r="AK61" s="90"/>
      <c r="AL61" s="90"/>
      <c r="AM61" s="87"/>
      <c r="AN61" s="87"/>
      <c r="AO61" s="87"/>
      <c r="AP61" s="87"/>
      <c r="AQ61" s="87"/>
      <c r="AR61" s="90"/>
      <c r="AS61" s="90"/>
      <c r="AT61" s="90"/>
      <c r="AU61" s="90"/>
      <c r="AV61" s="90"/>
      <c r="AW61" s="89"/>
      <c r="AX61" s="87"/>
      <c r="AY61" s="87"/>
      <c r="AZ61" s="87"/>
      <c r="BA61" s="87"/>
      <c r="BB61" s="91"/>
      <c r="BC61" s="91"/>
      <c r="BD61" s="91"/>
      <c r="BE61" s="91"/>
      <c r="BF61" s="91"/>
      <c r="BG61" s="87"/>
      <c r="BH61" s="87"/>
      <c r="BI61" s="87"/>
      <c r="BJ61" s="87"/>
      <c r="BK61" s="87"/>
      <c r="BL61" s="91"/>
      <c r="BM61" s="91"/>
      <c r="BN61" s="91"/>
      <c r="BO61" s="91"/>
      <c r="BP61" s="91"/>
      <c r="BQ61" s="87"/>
      <c r="BR61" s="87"/>
      <c r="BS61" s="87"/>
      <c r="BT61" s="87"/>
      <c r="BU61" s="87"/>
      <c r="BV61" s="92"/>
      <c r="BW61" s="92"/>
      <c r="BX61" s="92"/>
      <c r="BY61" s="122"/>
      <c r="BZ61" s="122"/>
      <c r="CA61" s="87"/>
      <c r="CB61" s="87"/>
      <c r="CC61" s="87"/>
      <c r="CD61" s="87"/>
      <c r="CE61" s="87"/>
      <c r="CF61" s="92"/>
      <c r="CG61" s="92"/>
      <c r="CH61" s="92"/>
      <c r="CI61" s="92"/>
      <c r="CJ61" s="92"/>
      <c r="CK61" s="89"/>
      <c r="CL61" s="87"/>
      <c r="CM61" s="87"/>
      <c r="CN61" s="87"/>
      <c r="CO61" s="87"/>
      <c r="CP61" s="126"/>
      <c r="CQ61" s="127"/>
      <c r="CR61" s="127"/>
      <c r="CS61" s="127"/>
      <c r="CT61" s="127"/>
    </row>
    <row r="62" spans="1:353" s="82" customFormat="1" ht="19.95" customHeight="1" x14ac:dyDescent="0.3">
      <c r="B62" s="84" t="s">
        <v>116</v>
      </c>
      <c r="C62" s="93" t="s">
        <v>153</v>
      </c>
      <c r="D62" s="96" t="s">
        <v>55</v>
      </c>
      <c r="E62" s="71">
        <v>46338</v>
      </c>
      <c r="F62" s="72">
        <v>46339</v>
      </c>
      <c r="G62" s="73">
        <f t="shared" si="9"/>
        <v>2</v>
      </c>
      <c r="H62" s="85">
        <v>0</v>
      </c>
      <c r="I62" s="86"/>
      <c r="J62" s="87"/>
      <c r="K62" s="87"/>
      <c r="L62" s="87"/>
      <c r="M62" s="87"/>
      <c r="N62" s="88"/>
      <c r="O62" s="88"/>
      <c r="P62" s="88"/>
      <c r="Q62" s="88"/>
      <c r="R62" s="88"/>
      <c r="S62" s="87"/>
      <c r="T62" s="87"/>
      <c r="U62" s="87"/>
      <c r="V62" s="87"/>
      <c r="W62" s="87"/>
      <c r="X62" s="88"/>
      <c r="Y62" s="88"/>
      <c r="Z62" s="88"/>
      <c r="AA62" s="88"/>
      <c r="AB62" s="88"/>
      <c r="AC62" s="89"/>
      <c r="AD62" s="87"/>
      <c r="AE62" s="87"/>
      <c r="AF62" s="87"/>
      <c r="AG62" s="87"/>
      <c r="AH62" s="90"/>
      <c r="AI62" s="90"/>
      <c r="AJ62" s="90"/>
      <c r="AK62" s="90"/>
      <c r="AL62" s="90"/>
      <c r="AM62" s="87"/>
      <c r="AN62" s="87"/>
      <c r="AO62" s="87"/>
      <c r="AP62" s="87"/>
      <c r="AQ62" s="87"/>
      <c r="AR62" s="90"/>
      <c r="AS62" s="90"/>
      <c r="AT62" s="90"/>
      <c r="AU62" s="90"/>
      <c r="AV62" s="90"/>
      <c r="AW62" s="89"/>
      <c r="AX62" s="87"/>
      <c r="AY62" s="87"/>
      <c r="AZ62" s="87"/>
      <c r="BA62" s="87"/>
      <c r="BB62" s="91"/>
      <c r="BC62" s="91"/>
      <c r="BD62" s="91"/>
      <c r="BE62" s="91"/>
      <c r="BF62" s="91"/>
      <c r="BG62" s="87"/>
      <c r="BH62" s="87"/>
      <c r="BI62" s="87"/>
      <c r="BJ62" s="87"/>
      <c r="BK62" s="87"/>
      <c r="BL62" s="91"/>
      <c r="BM62" s="91"/>
      <c r="BN62" s="91"/>
      <c r="BO62" s="91"/>
      <c r="BP62" s="91"/>
      <c r="BQ62" s="87"/>
      <c r="BR62" s="87"/>
      <c r="BS62" s="87"/>
      <c r="BT62" s="87"/>
      <c r="BU62" s="87"/>
      <c r="BV62" s="92"/>
      <c r="BW62" s="92"/>
      <c r="BX62" s="92"/>
      <c r="BY62" s="122"/>
      <c r="BZ62" s="122"/>
      <c r="CA62" s="87"/>
      <c r="CB62" s="87"/>
      <c r="CC62" s="87"/>
      <c r="CD62" s="87"/>
      <c r="CE62" s="87"/>
      <c r="CF62" s="92"/>
      <c r="CG62" s="92"/>
      <c r="CH62" s="92"/>
      <c r="CI62" s="92"/>
      <c r="CJ62" s="92"/>
      <c r="CK62" s="89"/>
      <c r="CL62" s="87"/>
      <c r="CM62" s="87"/>
      <c r="CN62" s="87"/>
      <c r="CO62" s="87"/>
      <c r="CP62" s="126"/>
      <c r="CQ62" s="127"/>
      <c r="CR62" s="127"/>
      <c r="CS62" s="127"/>
      <c r="CT62" s="127"/>
    </row>
    <row r="63" spans="1:353" s="83" customFormat="1" ht="19.95" customHeight="1" x14ac:dyDescent="0.3">
      <c r="A63" s="82"/>
      <c r="B63" s="107" t="s">
        <v>117</v>
      </c>
      <c r="C63" s="108" t="s">
        <v>154</v>
      </c>
      <c r="D63" s="109"/>
      <c r="E63" s="109"/>
      <c r="F63" s="109"/>
      <c r="G63" s="109" t="str">
        <f t="shared" si="4"/>
        <v/>
      </c>
      <c r="H63" s="113"/>
      <c r="I63" s="114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115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115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115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115"/>
      <c r="CL63" s="92"/>
      <c r="CM63" s="92"/>
      <c r="CN63" s="92"/>
      <c r="CO63" s="92"/>
      <c r="CP63" s="115"/>
      <c r="CQ63" s="92"/>
      <c r="CR63" s="92"/>
      <c r="CS63" s="92"/>
      <c r="CT63" s="9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  <c r="HN63" s="82"/>
      <c r="HO63" s="82"/>
      <c r="HP63" s="82"/>
      <c r="HQ63" s="82"/>
      <c r="HR63" s="82"/>
      <c r="HS63" s="82"/>
      <c r="HT63" s="82"/>
      <c r="HU63" s="82"/>
      <c r="HV63" s="82"/>
      <c r="HW63" s="82"/>
      <c r="HX63" s="82"/>
      <c r="HY63" s="82"/>
      <c r="HZ63" s="82"/>
      <c r="IA63" s="82"/>
      <c r="IB63" s="82"/>
      <c r="IC63" s="82"/>
      <c r="ID63" s="82"/>
      <c r="IE63" s="82"/>
      <c r="IF63" s="82"/>
      <c r="IG63" s="82"/>
      <c r="IH63" s="82"/>
      <c r="II63" s="82"/>
      <c r="IJ63" s="82"/>
      <c r="IK63" s="82"/>
      <c r="IL63" s="82"/>
      <c r="IM63" s="82"/>
      <c r="IN63" s="82"/>
      <c r="IO63" s="82"/>
      <c r="IP63" s="82"/>
      <c r="IQ63" s="82"/>
      <c r="IR63" s="82"/>
      <c r="IS63" s="82"/>
      <c r="IT63" s="82"/>
      <c r="IU63" s="82"/>
      <c r="IV63" s="82"/>
      <c r="IW63" s="82"/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82"/>
      <c r="KI63" s="82"/>
      <c r="KJ63" s="82"/>
      <c r="KK63" s="82"/>
      <c r="KL63" s="82"/>
      <c r="KM63" s="82"/>
      <c r="KN63" s="82"/>
      <c r="KO63" s="82"/>
      <c r="KP63" s="82"/>
      <c r="KQ63" s="82"/>
      <c r="KR63" s="82"/>
      <c r="KS63" s="82"/>
      <c r="KT63" s="82"/>
      <c r="KU63" s="82"/>
      <c r="KV63" s="82"/>
      <c r="KW63" s="82"/>
      <c r="KX63" s="82"/>
      <c r="KY63" s="82"/>
      <c r="KZ63" s="82"/>
      <c r="LA63" s="82"/>
      <c r="LB63" s="82"/>
      <c r="LC63" s="82"/>
      <c r="LD63" s="82"/>
      <c r="LE63" s="82"/>
      <c r="LF63" s="82"/>
      <c r="LG63" s="82"/>
      <c r="LH63" s="82"/>
      <c r="LI63" s="82"/>
      <c r="LJ63" s="82"/>
      <c r="LK63" s="82"/>
      <c r="LL63" s="82"/>
      <c r="LM63" s="82"/>
      <c r="LN63" s="82"/>
      <c r="LO63" s="82"/>
      <c r="LP63" s="82"/>
      <c r="LQ63" s="82"/>
      <c r="LR63" s="82"/>
      <c r="LS63" s="82"/>
      <c r="LT63" s="82"/>
      <c r="LU63" s="82"/>
      <c r="LV63" s="82"/>
      <c r="LW63" s="82"/>
      <c r="LX63" s="82"/>
      <c r="LY63" s="82"/>
      <c r="LZ63" s="82"/>
      <c r="MA63" s="82"/>
      <c r="MB63" s="82"/>
      <c r="MC63" s="82"/>
      <c r="MD63" s="82"/>
      <c r="ME63" s="82"/>
      <c r="MF63" s="82"/>
      <c r="MG63" s="82"/>
      <c r="MH63" s="82"/>
      <c r="MI63" s="82"/>
      <c r="MJ63" s="82"/>
      <c r="MK63" s="82"/>
      <c r="ML63" s="82"/>
      <c r="MM63" s="82"/>
      <c r="MN63" s="82"/>
      <c r="MO63" s="82"/>
    </row>
    <row r="64" spans="1:353" s="82" customFormat="1" ht="19.95" customHeight="1" x14ac:dyDescent="0.3">
      <c r="B64" s="84" t="s">
        <v>118</v>
      </c>
      <c r="C64" s="93" t="s">
        <v>193</v>
      </c>
      <c r="D64" s="96" t="s">
        <v>60</v>
      </c>
      <c r="E64" s="71">
        <v>46335</v>
      </c>
      <c r="F64" s="72">
        <v>46337</v>
      </c>
      <c r="G64" s="73">
        <f t="shared" ref="G64:G69" si="10">IF(OR(E64="",F64=""),"",NETWORKDAYS(E64,F64))</f>
        <v>3</v>
      </c>
      <c r="H64" s="85">
        <v>0</v>
      </c>
      <c r="I64" s="86"/>
      <c r="J64" s="87"/>
      <c r="K64" s="87"/>
      <c r="L64" s="87"/>
      <c r="M64" s="87"/>
      <c r="N64" s="88"/>
      <c r="O64" s="88"/>
      <c r="P64" s="88"/>
      <c r="Q64" s="88"/>
      <c r="R64" s="88"/>
      <c r="S64" s="87"/>
      <c r="T64" s="87"/>
      <c r="U64" s="87"/>
      <c r="V64" s="87"/>
      <c r="W64" s="87"/>
      <c r="X64" s="88"/>
      <c r="Y64" s="88"/>
      <c r="Z64" s="88"/>
      <c r="AA64" s="88"/>
      <c r="AB64" s="88"/>
      <c r="AC64" s="89"/>
      <c r="AD64" s="87"/>
      <c r="AE64" s="87"/>
      <c r="AF64" s="87"/>
      <c r="AG64" s="87"/>
      <c r="AH64" s="90"/>
      <c r="AI64" s="90"/>
      <c r="AJ64" s="90"/>
      <c r="AK64" s="90"/>
      <c r="AL64" s="90"/>
      <c r="AM64" s="87"/>
      <c r="AN64" s="87"/>
      <c r="AO64" s="87"/>
      <c r="AP64" s="87"/>
      <c r="AQ64" s="87"/>
      <c r="AR64" s="90"/>
      <c r="AS64" s="90"/>
      <c r="AT64" s="90"/>
      <c r="AU64" s="90"/>
      <c r="AV64" s="90"/>
      <c r="AW64" s="89"/>
      <c r="AX64" s="87"/>
      <c r="AY64" s="87"/>
      <c r="AZ64" s="87"/>
      <c r="BA64" s="87"/>
      <c r="BB64" s="91"/>
      <c r="BC64" s="91"/>
      <c r="BD64" s="91"/>
      <c r="BE64" s="91"/>
      <c r="BF64" s="91"/>
      <c r="BG64" s="87"/>
      <c r="BH64" s="87"/>
      <c r="BI64" s="87"/>
      <c r="BJ64" s="87"/>
      <c r="BK64" s="87"/>
      <c r="BL64" s="91"/>
      <c r="BM64" s="91"/>
      <c r="BN64" s="91"/>
      <c r="BO64" s="91"/>
      <c r="BP64" s="91"/>
      <c r="BQ64" s="87"/>
      <c r="BR64" s="87"/>
      <c r="BS64" s="87"/>
      <c r="BT64" s="87"/>
      <c r="BU64" s="87"/>
      <c r="BV64" s="122"/>
      <c r="BW64" s="122"/>
      <c r="BX64" s="122"/>
      <c r="BY64" s="92"/>
      <c r="BZ64" s="92"/>
      <c r="CA64" s="87"/>
      <c r="CB64" s="87"/>
      <c r="CC64" s="87"/>
      <c r="CD64" s="87"/>
      <c r="CE64" s="87"/>
      <c r="CF64" s="92"/>
      <c r="CG64" s="92"/>
      <c r="CH64" s="92"/>
      <c r="CI64" s="92"/>
      <c r="CJ64" s="92"/>
      <c r="CK64" s="89"/>
      <c r="CL64" s="87"/>
      <c r="CM64" s="87"/>
      <c r="CN64" s="87"/>
      <c r="CO64" s="87"/>
      <c r="CP64" s="126"/>
      <c r="CQ64" s="127"/>
      <c r="CR64" s="127"/>
      <c r="CS64" s="127"/>
      <c r="CT64" s="127"/>
    </row>
    <row r="65" spans="1:353" s="82" customFormat="1" ht="19.95" customHeight="1" x14ac:dyDescent="0.3">
      <c r="B65" s="84" t="s">
        <v>119</v>
      </c>
      <c r="C65" s="93" t="s">
        <v>155</v>
      </c>
      <c r="D65" s="96" t="s">
        <v>55</v>
      </c>
      <c r="E65" s="71">
        <v>46338</v>
      </c>
      <c r="F65" s="72">
        <v>46339</v>
      </c>
      <c r="G65" s="73">
        <f t="shared" si="10"/>
        <v>2</v>
      </c>
      <c r="H65" s="85">
        <v>0</v>
      </c>
      <c r="I65" s="86"/>
      <c r="J65" s="87"/>
      <c r="K65" s="87"/>
      <c r="L65" s="87"/>
      <c r="M65" s="87"/>
      <c r="N65" s="88"/>
      <c r="O65" s="88"/>
      <c r="P65" s="88"/>
      <c r="Q65" s="88"/>
      <c r="R65" s="88"/>
      <c r="S65" s="87"/>
      <c r="T65" s="87"/>
      <c r="U65" s="87"/>
      <c r="V65" s="87"/>
      <c r="W65" s="87"/>
      <c r="X65" s="88"/>
      <c r="Y65" s="88"/>
      <c r="Z65" s="88"/>
      <c r="AA65" s="88"/>
      <c r="AB65" s="88"/>
      <c r="AC65" s="89"/>
      <c r="AD65" s="87"/>
      <c r="AE65" s="87"/>
      <c r="AF65" s="87"/>
      <c r="AG65" s="87"/>
      <c r="AH65" s="90"/>
      <c r="AI65" s="90"/>
      <c r="AJ65" s="90"/>
      <c r="AK65" s="90"/>
      <c r="AL65" s="90"/>
      <c r="AM65" s="87"/>
      <c r="AN65" s="87"/>
      <c r="AO65" s="87"/>
      <c r="AP65" s="87"/>
      <c r="AQ65" s="87"/>
      <c r="AR65" s="90"/>
      <c r="AS65" s="90"/>
      <c r="AT65" s="90"/>
      <c r="AU65" s="90"/>
      <c r="AV65" s="90"/>
      <c r="AW65" s="89"/>
      <c r="AX65" s="87"/>
      <c r="AY65" s="87"/>
      <c r="AZ65" s="87"/>
      <c r="BA65" s="87"/>
      <c r="BB65" s="91"/>
      <c r="BC65" s="91"/>
      <c r="BD65" s="91"/>
      <c r="BE65" s="91"/>
      <c r="BF65" s="91"/>
      <c r="BG65" s="87"/>
      <c r="BH65" s="87"/>
      <c r="BI65" s="87"/>
      <c r="BJ65" s="87"/>
      <c r="BK65" s="87"/>
      <c r="BL65" s="91"/>
      <c r="BM65" s="91"/>
      <c r="BN65" s="91"/>
      <c r="BO65" s="91"/>
      <c r="BP65" s="91"/>
      <c r="BQ65" s="87"/>
      <c r="BR65" s="87"/>
      <c r="BS65" s="87"/>
      <c r="BT65" s="87"/>
      <c r="BU65" s="87"/>
      <c r="BV65" s="92"/>
      <c r="BW65" s="92"/>
      <c r="BX65" s="92"/>
      <c r="BY65" s="122"/>
      <c r="BZ65" s="122"/>
      <c r="CA65" s="87"/>
      <c r="CB65" s="87"/>
      <c r="CC65" s="87"/>
      <c r="CD65" s="87"/>
      <c r="CE65" s="87"/>
      <c r="CF65" s="92"/>
      <c r="CG65" s="92"/>
      <c r="CH65" s="92"/>
      <c r="CI65" s="92"/>
      <c r="CJ65" s="92"/>
      <c r="CK65" s="89"/>
      <c r="CL65" s="87"/>
      <c r="CM65" s="87"/>
      <c r="CN65" s="87"/>
      <c r="CO65" s="87"/>
      <c r="CP65" s="126"/>
      <c r="CQ65" s="127"/>
      <c r="CR65" s="127"/>
      <c r="CS65" s="127"/>
      <c r="CT65" s="127"/>
    </row>
    <row r="66" spans="1:353" s="82" customFormat="1" ht="19.95" customHeight="1" x14ac:dyDescent="0.3">
      <c r="B66" s="84" t="s">
        <v>120</v>
      </c>
      <c r="C66" s="93" t="s">
        <v>156</v>
      </c>
      <c r="D66" s="96" t="s">
        <v>60</v>
      </c>
      <c r="E66" s="71">
        <v>46338</v>
      </c>
      <c r="F66" s="72">
        <v>46339</v>
      </c>
      <c r="G66" s="73">
        <f t="shared" si="10"/>
        <v>2</v>
      </c>
      <c r="H66" s="85">
        <v>0</v>
      </c>
      <c r="I66" s="86"/>
      <c r="J66" s="87"/>
      <c r="K66" s="87"/>
      <c r="L66" s="87"/>
      <c r="M66" s="87"/>
      <c r="N66" s="88"/>
      <c r="O66" s="88"/>
      <c r="P66" s="88"/>
      <c r="Q66" s="88"/>
      <c r="R66" s="88"/>
      <c r="S66" s="87"/>
      <c r="T66" s="87"/>
      <c r="U66" s="87"/>
      <c r="V66" s="87"/>
      <c r="W66" s="87"/>
      <c r="X66" s="88"/>
      <c r="Y66" s="88"/>
      <c r="Z66" s="88"/>
      <c r="AA66" s="88"/>
      <c r="AB66" s="88"/>
      <c r="AC66" s="89"/>
      <c r="AD66" s="87"/>
      <c r="AE66" s="87"/>
      <c r="AF66" s="87"/>
      <c r="AG66" s="87"/>
      <c r="AH66" s="90"/>
      <c r="AI66" s="90"/>
      <c r="AJ66" s="90"/>
      <c r="AK66" s="90"/>
      <c r="AL66" s="90"/>
      <c r="AM66" s="87"/>
      <c r="AN66" s="87"/>
      <c r="AO66" s="87"/>
      <c r="AP66" s="87"/>
      <c r="AQ66" s="87"/>
      <c r="AR66" s="90"/>
      <c r="AS66" s="90"/>
      <c r="AT66" s="90"/>
      <c r="AU66" s="90"/>
      <c r="AV66" s="90"/>
      <c r="AW66" s="89"/>
      <c r="AX66" s="87"/>
      <c r="AY66" s="87"/>
      <c r="AZ66" s="87"/>
      <c r="BA66" s="87"/>
      <c r="BB66" s="91"/>
      <c r="BC66" s="91"/>
      <c r="BD66" s="91"/>
      <c r="BE66" s="91"/>
      <c r="BF66" s="91"/>
      <c r="BG66" s="87"/>
      <c r="BH66" s="87"/>
      <c r="BI66" s="87"/>
      <c r="BJ66" s="87"/>
      <c r="BK66" s="87"/>
      <c r="BL66" s="91"/>
      <c r="BM66" s="91"/>
      <c r="BN66" s="91"/>
      <c r="BO66" s="91"/>
      <c r="BP66" s="91"/>
      <c r="BQ66" s="87"/>
      <c r="BR66" s="87"/>
      <c r="BS66" s="87"/>
      <c r="BT66" s="87"/>
      <c r="BU66" s="87"/>
      <c r="BV66" s="92"/>
      <c r="BW66" s="92"/>
      <c r="BX66" s="92"/>
      <c r="BY66" s="122"/>
      <c r="BZ66" s="122"/>
      <c r="CA66" s="87"/>
      <c r="CB66" s="87"/>
      <c r="CC66" s="87"/>
      <c r="CD66" s="87"/>
      <c r="CE66" s="87"/>
      <c r="CF66" s="92"/>
      <c r="CG66" s="92"/>
      <c r="CH66" s="92"/>
      <c r="CI66" s="92"/>
      <c r="CJ66" s="92"/>
      <c r="CK66" s="89"/>
      <c r="CL66" s="87"/>
      <c r="CM66" s="87"/>
      <c r="CN66" s="87"/>
      <c r="CO66" s="87"/>
      <c r="CP66" s="126"/>
      <c r="CQ66" s="127"/>
      <c r="CR66" s="127"/>
      <c r="CS66" s="127"/>
      <c r="CT66" s="127"/>
    </row>
    <row r="67" spans="1:353" s="82" customFormat="1" ht="19.95" customHeight="1" x14ac:dyDescent="0.3">
      <c r="B67" s="84" t="s">
        <v>121</v>
      </c>
      <c r="C67" s="93" t="s">
        <v>157</v>
      </c>
      <c r="D67" s="96" t="s">
        <v>60</v>
      </c>
      <c r="E67" s="71">
        <v>46342</v>
      </c>
      <c r="F67" s="72">
        <v>46342</v>
      </c>
      <c r="G67" s="73">
        <f t="shared" si="10"/>
        <v>1</v>
      </c>
      <c r="H67" s="85">
        <v>0</v>
      </c>
      <c r="I67" s="86"/>
      <c r="J67" s="87"/>
      <c r="K67" s="87"/>
      <c r="L67" s="87"/>
      <c r="M67" s="87"/>
      <c r="N67" s="88"/>
      <c r="O67" s="88"/>
      <c r="P67" s="88"/>
      <c r="Q67" s="88"/>
      <c r="R67" s="88"/>
      <c r="S67" s="87"/>
      <c r="T67" s="87"/>
      <c r="U67" s="87"/>
      <c r="V67" s="87"/>
      <c r="W67" s="87"/>
      <c r="X67" s="88"/>
      <c r="Y67" s="88"/>
      <c r="Z67" s="88"/>
      <c r="AA67" s="88"/>
      <c r="AB67" s="88"/>
      <c r="AC67" s="89"/>
      <c r="AD67" s="87"/>
      <c r="AE67" s="87"/>
      <c r="AF67" s="87"/>
      <c r="AG67" s="87"/>
      <c r="AH67" s="90"/>
      <c r="AI67" s="90"/>
      <c r="AJ67" s="90"/>
      <c r="AK67" s="90"/>
      <c r="AL67" s="90"/>
      <c r="AM67" s="87"/>
      <c r="AN67" s="87"/>
      <c r="AO67" s="87"/>
      <c r="AP67" s="87"/>
      <c r="AQ67" s="87"/>
      <c r="AR67" s="90"/>
      <c r="AS67" s="90"/>
      <c r="AT67" s="90"/>
      <c r="AU67" s="90"/>
      <c r="AV67" s="90"/>
      <c r="AW67" s="89"/>
      <c r="AX67" s="87"/>
      <c r="AY67" s="87"/>
      <c r="AZ67" s="87"/>
      <c r="BA67" s="87"/>
      <c r="BB67" s="91"/>
      <c r="BC67" s="91"/>
      <c r="BD67" s="91"/>
      <c r="BE67" s="91"/>
      <c r="BF67" s="91"/>
      <c r="BG67" s="87"/>
      <c r="BH67" s="87"/>
      <c r="BI67" s="87"/>
      <c r="BJ67" s="87"/>
      <c r="BK67" s="87"/>
      <c r="BL67" s="91"/>
      <c r="BM67" s="91"/>
      <c r="BN67" s="91"/>
      <c r="BO67" s="91"/>
      <c r="BP67" s="91"/>
      <c r="BQ67" s="87"/>
      <c r="BR67" s="87"/>
      <c r="BS67" s="87"/>
      <c r="BT67" s="87"/>
      <c r="BU67" s="87"/>
      <c r="BV67" s="92"/>
      <c r="BW67" s="92"/>
      <c r="BX67" s="92"/>
      <c r="BY67" s="92"/>
      <c r="BZ67" s="92"/>
      <c r="CA67" s="122"/>
      <c r="CB67" s="87"/>
      <c r="CC67" s="87"/>
      <c r="CD67" s="87"/>
      <c r="CE67" s="87"/>
      <c r="CF67" s="92"/>
      <c r="CG67" s="92"/>
      <c r="CH67" s="92"/>
      <c r="CI67" s="92"/>
      <c r="CJ67" s="92"/>
      <c r="CK67" s="89"/>
      <c r="CL67" s="87"/>
      <c r="CM67" s="87"/>
      <c r="CN67" s="87"/>
      <c r="CO67" s="87"/>
      <c r="CP67" s="126"/>
      <c r="CQ67" s="127"/>
      <c r="CR67" s="127"/>
      <c r="CS67" s="127"/>
      <c r="CT67" s="127"/>
    </row>
    <row r="68" spans="1:353" s="82" customFormat="1" ht="19.95" customHeight="1" x14ac:dyDescent="0.3">
      <c r="B68" s="84" t="s">
        <v>122</v>
      </c>
      <c r="C68" s="93" t="s">
        <v>158</v>
      </c>
      <c r="D68" s="96" t="s">
        <v>60</v>
      </c>
      <c r="E68" s="71">
        <v>46342</v>
      </c>
      <c r="F68" s="72">
        <v>46342</v>
      </c>
      <c r="G68" s="73">
        <f t="shared" si="10"/>
        <v>1</v>
      </c>
      <c r="H68" s="85">
        <v>0</v>
      </c>
      <c r="I68" s="86"/>
      <c r="J68" s="87"/>
      <c r="K68" s="87"/>
      <c r="L68" s="87"/>
      <c r="M68" s="87"/>
      <c r="N68" s="88"/>
      <c r="O68" s="88"/>
      <c r="P68" s="88"/>
      <c r="Q68" s="88"/>
      <c r="R68" s="88"/>
      <c r="S68" s="87"/>
      <c r="T68" s="87"/>
      <c r="U68" s="87"/>
      <c r="V68" s="87"/>
      <c r="W68" s="87"/>
      <c r="X68" s="88"/>
      <c r="Y68" s="88"/>
      <c r="Z68" s="88"/>
      <c r="AA68" s="88"/>
      <c r="AB68" s="88"/>
      <c r="AC68" s="89"/>
      <c r="AD68" s="87"/>
      <c r="AE68" s="87"/>
      <c r="AF68" s="87"/>
      <c r="AG68" s="87"/>
      <c r="AH68" s="90"/>
      <c r="AI68" s="90"/>
      <c r="AJ68" s="90"/>
      <c r="AK68" s="90"/>
      <c r="AL68" s="90"/>
      <c r="AM68" s="87"/>
      <c r="AN68" s="87"/>
      <c r="AO68" s="87"/>
      <c r="AP68" s="87"/>
      <c r="AQ68" s="87"/>
      <c r="AR68" s="90"/>
      <c r="AS68" s="90"/>
      <c r="AT68" s="90"/>
      <c r="AU68" s="90"/>
      <c r="AV68" s="90"/>
      <c r="AW68" s="89"/>
      <c r="AX68" s="87"/>
      <c r="AY68" s="87"/>
      <c r="AZ68" s="87"/>
      <c r="BA68" s="87"/>
      <c r="BB68" s="91"/>
      <c r="BC68" s="91"/>
      <c r="BD68" s="91"/>
      <c r="BE68" s="91"/>
      <c r="BF68" s="91"/>
      <c r="BG68" s="87"/>
      <c r="BH68" s="87"/>
      <c r="BI68" s="87"/>
      <c r="BJ68" s="87"/>
      <c r="BK68" s="87"/>
      <c r="BL68" s="91"/>
      <c r="BM68" s="91"/>
      <c r="BN68" s="91"/>
      <c r="BO68" s="91"/>
      <c r="BP68" s="91"/>
      <c r="BQ68" s="87"/>
      <c r="BR68" s="87"/>
      <c r="BS68" s="87"/>
      <c r="BT68" s="87"/>
      <c r="BU68" s="87"/>
      <c r="BV68" s="92"/>
      <c r="BW68" s="92"/>
      <c r="BX68" s="92"/>
      <c r="BY68" s="92"/>
      <c r="BZ68" s="92"/>
      <c r="CA68" s="122"/>
      <c r="CB68" s="87"/>
      <c r="CC68" s="87"/>
      <c r="CD68" s="87"/>
      <c r="CE68" s="87"/>
      <c r="CF68" s="92"/>
      <c r="CG68" s="92"/>
      <c r="CH68" s="92"/>
      <c r="CI68" s="92"/>
      <c r="CJ68" s="92"/>
      <c r="CK68" s="89"/>
      <c r="CL68" s="87"/>
      <c r="CM68" s="87"/>
      <c r="CN68" s="87"/>
      <c r="CO68" s="87"/>
      <c r="CP68" s="126"/>
      <c r="CQ68" s="127"/>
      <c r="CR68" s="127"/>
      <c r="CS68" s="127"/>
      <c r="CT68" s="127"/>
    </row>
    <row r="69" spans="1:353" s="82" customFormat="1" ht="19.95" customHeight="1" x14ac:dyDescent="0.3">
      <c r="B69" s="84" t="s">
        <v>123</v>
      </c>
      <c r="C69" s="93" t="s">
        <v>159</v>
      </c>
      <c r="D69" s="96" t="s">
        <v>61</v>
      </c>
      <c r="E69" s="71">
        <v>46342</v>
      </c>
      <c r="F69" s="72">
        <v>46342</v>
      </c>
      <c r="G69" s="73">
        <f t="shared" si="10"/>
        <v>1</v>
      </c>
      <c r="H69" s="85">
        <v>0</v>
      </c>
      <c r="I69" s="86"/>
      <c r="J69" s="87"/>
      <c r="K69" s="87"/>
      <c r="L69" s="87"/>
      <c r="M69" s="87"/>
      <c r="N69" s="88"/>
      <c r="O69" s="88"/>
      <c r="P69" s="88"/>
      <c r="Q69" s="88"/>
      <c r="R69" s="88"/>
      <c r="S69" s="87"/>
      <c r="T69" s="87"/>
      <c r="U69" s="87"/>
      <c r="V69" s="87"/>
      <c r="W69" s="87"/>
      <c r="X69" s="88"/>
      <c r="Y69" s="88"/>
      <c r="Z69" s="88"/>
      <c r="AA69" s="88"/>
      <c r="AB69" s="88"/>
      <c r="AC69" s="89"/>
      <c r="AD69" s="87"/>
      <c r="AE69" s="87"/>
      <c r="AF69" s="87"/>
      <c r="AG69" s="87"/>
      <c r="AH69" s="90"/>
      <c r="AI69" s="90"/>
      <c r="AJ69" s="90"/>
      <c r="AK69" s="90"/>
      <c r="AL69" s="90"/>
      <c r="AM69" s="87"/>
      <c r="AN69" s="87"/>
      <c r="AO69" s="87"/>
      <c r="AP69" s="87"/>
      <c r="AQ69" s="87"/>
      <c r="AR69" s="90"/>
      <c r="AS69" s="90"/>
      <c r="AT69" s="90"/>
      <c r="AU69" s="90"/>
      <c r="AV69" s="90"/>
      <c r="AW69" s="89"/>
      <c r="AX69" s="87"/>
      <c r="AY69" s="87"/>
      <c r="AZ69" s="87"/>
      <c r="BA69" s="87"/>
      <c r="BB69" s="91"/>
      <c r="BC69" s="91"/>
      <c r="BD69" s="91"/>
      <c r="BE69" s="91"/>
      <c r="BF69" s="91"/>
      <c r="BG69" s="87"/>
      <c r="BH69" s="87"/>
      <c r="BI69" s="87"/>
      <c r="BJ69" s="87"/>
      <c r="BK69" s="87"/>
      <c r="BL69" s="91"/>
      <c r="BM69" s="91"/>
      <c r="BN69" s="91"/>
      <c r="BO69" s="91"/>
      <c r="BP69" s="91"/>
      <c r="BQ69" s="87"/>
      <c r="BR69" s="87"/>
      <c r="BS69" s="87"/>
      <c r="BT69" s="87"/>
      <c r="BU69" s="87"/>
      <c r="BV69" s="92"/>
      <c r="BW69" s="92"/>
      <c r="BX69" s="92"/>
      <c r="BY69" s="92"/>
      <c r="BZ69" s="92"/>
      <c r="CA69" s="122"/>
      <c r="CB69" s="87"/>
      <c r="CC69" s="87"/>
      <c r="CD69" s="87"/>
      <c r="CE69" s="87"/>
      <c r="CF69" s="92"/>
      <c r="CG69" s="92"/>
      <c r="CH69" s="92"/>
      <c r="CI69" s="92"/>
      <c r="CJ69" s="92"/>
      <c r="CK69" s="89"/>
      <c r="CL69" s="87"/>
      <c r="CM69" s="87"/>
      <c r="CN69" s="87"/>
      <c r="CO69" s="87"/>
      <c r="CP69" s="126"/>
      <c r="CQ69" s="127"/>
      <c r="CR69" s="127"/>
      <c r="CS69" s="127"/>
      <c r="CT69" s="127"/>
    </row>
    <row r="70" spans="1:353" s="49" customFormat="1" ht="19.95" customHeight="1" x14ac:dyDescent="0.3">
      <c r="B70" s="58">
        <v>3</v>
      </c>
      <c r="C70" s="95" t="s">
        <v>124</v>
      </c>
      <c r="D70" s="59"/>
      <c r="E70" s="59"/>
      <c r="F70" s="59"/>
      <c r="G70" s="61" t="str">
        <f t="shared" si="4"/>
        <v/>
      </c>
      <c r="H70" s="29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7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7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7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7"/>
      <c r="CL70" s="56"/>
      <c r="CM70" s="56"/>
      <c r="CN70" s="56"/>
      <c r="CO70" s="56"/>
      <c r="CP70" s="57"/>
      <c r="CQ70" s="56"/>
      <c r="CR70" s="56"/>
      <c r="CS70" s="56"/>
      <c r="CT70" s="56"/>
    </row>
    <row r="71" spans="1:353" s="97" customFormat="1" ht="19.95" customHeight="1" x14ac:dyDescent="0.3">
      <c r="A71"/>
      <c r="B71" s="44" t="s">
        <v>28</v>
      </c>
      <c r="C71" s="116" t="s">
        <v>166</v>
      </c>
      <c r="D71" s="117"/>
      <c r="E71" s="117"/>
      <c r="F71" s="117"/>
      <c r="G71" s="118" t="str">
        <f t="shared" si="4"/>
        <v/>
      </c>
      <c r="H71" s="45"/>
      <c r="I71" s="46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8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8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8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8"/>
      <c r="CL71" s="47"/>
      <c r="CM71" s="47"/>
      <c r="CN71" s="47"/>
      <c r="CO71" s="47"/>
      <c r="CP71" s="48"/>
      <c r="CQ71" s="47"/>
      <c r="CR71" s="47"/>
      <c r="CS71" s="47"/>
      <c r="CT71" s="47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</row>
    <row r="72" spans="1:353" ht="19.95" customHeight="1" x14ac:dyDescent="0.3">
      <c r="B72" s="24" t="s">
        <v>160</v>
      </c>
      <c r="C72" s="93" t="s">
        <v>169</v>
      </c>
      <c r="D72" s="96" t="s">
        <v>55</v>
      </c>
      <c r="E72" s="71">
        <v>46350</v>
      </c>
      <c r="F72" s="72">
        <v>46351</v>
      </c>
      <c r="G72" s="73">
        <f t="shared" ref="G72:G75" si="11">IF(OR(E72="",F72=""),"",NETWORKDAYS(E72,F72))</f>
        <v>2</v>
      </c>
      <c r="H72" s="28">
        <v>0</v>
      </c>
      <c r="I72" s="25"/>
      <c r="J72" s="14"/>
      <c r="K72" s="14"/>
      <c r="L72" s="14"/>
      <c r="M72" s="14"/>
      <c r="N72" s="15"/>
      <c r="O72" s="15"/>
      <c r="P72" s="15"/>
      <c r="Q72" s="15"/>
      <c r="R72" s="15"/>
      <c r="S72" s="14"/>
      <c r="T72" s="14"/>
      <c r="U72" s="14"/>
      <c r="V72" s="14"/>
      <c r="W72" s="14"/>
      <c r="X72" s="15"/>
      <c r="Y72" s="15"/>
      <c r="Z72" s="15"/>
      <c r="AA72" s="15"/>
      <c r="AB72" s="15"/>
      <c r="AC72" s="13"/>
      <c r="AD72" s="14"/>
      <c r="AE72" s="14"/>
      <c r="AF72" s="14"/>
      <c r="AG72" s="14"/>
      <c r="AH72" s="16"/>
      <c r="AI72" s="16"/>
      <c r="AJ72" s="16"/>
      <c r="AK72" s="16"/>
      <c r="AL72" s="16"/>
      <c r="AM72" s="14"/>
      <c r="AN72" s="14"/>
      <c r="AO72" s="14"/>
      <c r="AP72" s="14"/>
      <c r="AQ72" s="14"/>
      <c r="AR72" s="16"/>
      <c r="AS72" s="16"/>
      <c r="AT72" s="16"/>
      <c r="AU72" s="16"/>
      <c r="AV72" s="16"/>
      <c r="AW72" s="13"/>
      <c r="AX72" s="14"/>
      <c r="AY72" s="14"/>
      <c r="AZ72" s="14"/>
      <c r="BA72" s="14"/>
      <c r="BB72" s="20"/>
      <c r="BC72" s="20"/>
      <c r="BD72" s="20"/>
      <c r="BE72" s="20"/>
      <c r="BF72" s="20"/>
      <c r="BG72" s="14"/>
      <c r="BH72" s="14"/>
      <c r="BI72" s="14"/>
      <c r="BJ72" s="14"/>
      <c r="BK72" s="14"/>
      <c r="BL72" s="20"/>
      <c r="BM72" s="20"/>
      <c r="BN72" s="20"/>
      <c r="BO72" s="20"/>
      <c r="BP72" s="20"/>
      <c r="BQ72" s="13"/>
      <c r="BR72" s="14"/>
      <c r="BS72" s="14"/>
      <c r="BT72" s="14"/>
      <c r="BU72" s="14"/>
      <c r="BV72" s="17"/>
      <c r="BW72" s="17"/>
      <c r="BX72" s="17"/>
      <c r="BY72" s="17"/>
      <c r="BZ72" s="17"/>
      <c r="CA72" s="14"/>
      <c r="CB72" s="14"/>
      <c r="CC72" s="14"/>
      <c r="CD72" s="14"/>
      <c r="CE72" s="14"/>
      <c r="CF72" s="17"/>
      <c r="CG72" s="129"/>
      <c r="CH72" s="129"/>
      <c r="CI72" s="17"/>
      <c r="CJ72" s="17"/>
      <c r="CK72" s="13"/>
      <c r="CL72" s="14"/>
      <c r="CM72" s="14"/>
      <c r="CN72" s="14"/>
      <c r="CO72" s="14"/>
      <c r="CP72" s="48"/>
      <c r="CQ72" s="47"/>
      <c r="CR72" s="47"/>
      <c r="CS72" s="47"/>
      <c r="CT72" s="47"/>
    </row>
    <row r="73" spans="1:353" ht="19.95" customHeight="1" x14ac:dyDescent="0.3">
      <c r="B73" s="24" t="s">
        <v>161</v>
      </c>
      <c r="C73" s="93" t="s">
        <v>170</v>
      </c>
      <c r="D73" s="96" t="s">
        <v>60</v>
      </c>
      <c r="E73" s="71">
        <v>46352</v>
      </c>
      <c r="F73" s="72">
        <v>46352</v>
      </c>
      <c r="G73" s="73">
        <f t="shared" si="11"/>
        <v>1</v>
      </c>
      <c r="H73" s="28">
        <v>0</v>
      </c>
      <c r="I73" s="25"/>
      <c r="J73" s="14"/>
      <c r="K73" s="14"/>
      <c r="L73" s="14"/>
      <c r="M73" s="14"/>
      <c r="N73" s="15"/>
      <c r="O73" s="15"/>
      <c r="P73" s="15"/>
      <c r="Q73" s="15"/>
      <c r="R73" s="15"/>
      <c r="S73" s="14"/>
      <c r="T73" s="14"/>
      <c r="U73" s="14"/>
      <c r="V73" s="14"/>
      <c r="W73" s="14"/>
      <c r="X73" s="15"/>
      <c r="Y73" s="15"/>
      <c r="Z73" s="15"/>
      <c r="AA73" s="15"/>
      <c r="AB73" s="15"/>
      <c r="AC73" s="13"/>
      <c r="AD73" s="14"/>
      <c r="AE73" s="14"/>
      <c r="AF73" s="14"/>
      <c r="AG73" s="14"/>
      <c r="AH73" s="16"/>
      <c r="AI73" s="16"/>
      <c r="AJ73" s="16"/>
      <c r="AK73" s="16"/>
      <c r="AL73" s="16"/>
      <c r="AM73" s="14"/>
      <c r="AN73" s="14"/>
      <c r="AO73" s="14"/>
      <c r="AP73" s="14"/>
      <c r="AQ73" s="14"/>
      <c r="AR73" s="16"/>
      <c r="AS73" s="16"/>
      <c r="AT73" s="16"/>
      <c r="AU73" s="16"/>
      <c r="AV73" s="16"/>
      <c r="AW73" s="13"/>
      <c r="AX73" s="14"/>
      <c r="AY73" s="14"/>
      <c r="AZ73" s="14"/>
      <c r="BA73" s="14"/>
      <c r="BB73" s="20"/>
      <c r="BC73" s="20"/>
      <c r="BD73" s="20"/>
      <c r="BE73" s="20"/>
      <c r="BF73" s="20"/>
      <c r="BG73" s="14"/>
      <c r="BH73" s="14"/>
      <c r="BI73" s="14"/>
      <c r="BJ73" s="14"/>
      <c r="BK73" s="14"/>
      <c r="BL73" s="20"/>
      <c r="BM73" s="20"/>
      <c r="BN73" s="20"/>
      <c r="BO73" s="20"/>
      <c r="BP73" s="20"/>
      <c r="BQ73" s="13"/>
      <c r="BR73" s="14"/>
      <c r="BS73" s="14"/>
      <c r="BT73" s="14"/>
      <c r="BU73" s="14"/>
      <c r="BV73" s="17"/>
      <c r="BW73" s="17"/>
      <c r="BX73" s="17"/>
      <c r="BY73" s="17"/>
      <c r="BZ73" s="17"/>
      <c r="CA73" s="14"/>
      <c r="CB73" s="14"/>
      <c r="CC73" s="14"/>
      <c r="CD73" s="14"/>
      <c r="CE73" s="14"/>
      <c r="CF73" s="17"/>
      <c r="CG73" s="17"/>
      <c r="CH73" s="17"/>
      <c r="CI73" s="129"/>
      <c r="CJ73" s="17"/>
      <c r="CK73" s="13"/>
      <c r="CL73" s="14"/>
      <c r="CM73" s="14"/>
      <c r="CN73" s="14"/>
      <c r="CO73" s="14"/>
      <c r="CP73" s="48"/>
      <c r="CQ73" s="47"/>
      <c r="CR73" s="47"/>
      <c r="CS73" s="47"/>
      <c r="CT73" s="47"/>
    </row>
    <row r="74" spans="1:353" ht="19.95" customHeight="1" x14ac:dyDescent="0.3">
      <c r="B74" s="24" t="s">
        <v>162</v>
      </c>
      <c r="C74" s="93" t="s">
        <v>171</v>
      </c>
      <c r="D74" s="96" t="s">
        <v>61</v>
      </c>
      <c r="E74" s="71">
        <v>46353</v>
      </c>
      <c r="F74" s="72">
        <v>46353</v>
      </c>
      <c r="G74" s="73">
        <f t="shared" si="11"/>
        <v>1</v>
      </c>
      <c r="H74" s="28">
        <v>0</v>
      </c>
      <c r="I74" s="25"/>
      <c r="J74" s="14"/>
      <c r="K74" s="14"/>
      <c r="L74" s="14"/>
      <c r="M74" s="14"/>
      <c r="N74" s="15"/>
      <c r="O74" s="15"/>
      <c r="P74" s="15"/>
      <c r="Q74" s="15"/>
      <c r="R74" s="15"/>
      <c r="S74" s="14"/>
      <c r="T74" s="14"/>
      <c r="U74" s="14"/>
      <c r="V74" s="14"/>
      <c r="W74" s="14"/>
      <c r="X74" s="15"/>
      <c r="Y74" s="15"/>
      <c r="Z74" s="15"/>
      <c r="AA74" s="15"/>
      <c r="AB74" s="15"/>
      <c r="AC74" s="13"/>
      <c r="AD74" s="14"/>
      <c r="AE74" s="14"/>
      <c r="AF74" s="14"/>
      <c r="AG74" s="14"/>
      <c r="AH74" s="16"/>
      <c r="AI74" s="16"/>
      <c r="AJ74" s="16"/>
      <c r="AK74" s="16"/>
      <c r="AL74" s="16"/>
      <c r="AM74" s="14"/>
      <c r="AN74" s="14"/>
      <c r="AO74" s="14"/>
      <c r="AP74" s="14"/>
      <c r="AQ74" s="14"/>
      <c r="AR74" s="16"/>
      <c r="AS74" s="16"/>
      <c r="AT74" s="16"/>
      <c r="AU74" s="16"/>
      <c r="AV74" s="16"/>
      <c r="AW74" s="13"/>
      <c r="AX74" s="14"/>
      <c r="AY74" s="14"/>
      <c r="AZ74" s="14"/>
      <c r="BA74" s="14"/>
      <c r="BB74" s="20"/>
      <c r="BC74" s="20"/>
      <c r="BD74" s="20"/>
      <c r="BE74" s="20"/>
      <c r="BF74" s="20"/>
      <c r="BG74" s="14"/>
      <c r="BH74" s="14"/>
      <c r="BI74" s="14"/>
      <c r="BJ74" s="14"/>
      <c r="BK74" s="14"/>
      <c r="BL74" s="20"/>
      <c r="BM74" s="20"/>
      <c r="BN74" s="20"/>
      <c r="BO74" s="20"/>
      <c r="BP74" s="20"/>
      <c r="BQ74" s="13"/>
      <c r="BR74" s="14"/>
      <c r="BS74" s="14"/>
      <c r="BT74" s="14"/>
      <c r="BU74" s="14"/>
      <c r="BV74" s="17"/>
      <c r="BW74" s="17"/>
      <c r="BX74" s="17"/>
      <c r="BY74" s="17"/>
      <c r="BZ74" s="17"/>
      <c r="CA74" s="14"/>
      <c r="CB74" s="14"/>
      <c r="CC74" s="14"/>
      <c r="CD74" s="14"/>
      <c r="CE74" s="14"/>
      <c r="CF74" s="17"/>
      <c r="CG74" s="17"/>
      <c r="CH74" s="17"/>
      <c r="CI74" s="17"/>
      <c r="CJ74" s="129"/>
      <c r="CK74" s="13"/>
      <c r="CL74" s="14"/>
      <c r="CM74" s="14"/>
      <c r="CN74" s="14"/>
      <c r="CO74" s="14"/>
      <c r="CP74" s="48"/>
      <c r="CQ74" s="47"/>
      <c r="CR74" s="47"/>
      <c r="CS74" s="47"/>
      <c r="CT74" s="47"/>
    </row>
    <row r="75" spans="1:353" ht="19.95" customHeight="1" x14ac:dyDescent="0.3">
      <c r="B75" s="24" t="s">
        <v>163</v>
      </c>
      <c r="C75" s="93" t="s">
        <v>172</v>
      </c>
      <c r="D75" s="96" t="s">
        <v>55</v>
      </c>
      <c r="E75" s="71">
        <v>46353</v>
      </c>
      <c r="F75" s="72">
        <v>46353</v>
      </c>
      <c r="G75" s="73">
        <f t="shared" si="11"/>
        <v>1</v>
      </c>
      <c r="H75" s="28">
        <v>0</v>
      </c>
      <c r="I75" s="25"/>
      <c r="J75" s="14"/>
      <c r="K75" s="14"/>
      <c r="L75" s="14"/>
      <c r="M75" s="14"/>
      <c r="N75" s="15"/>
      <c r="O75" s="15"/>
      <c r="P75" s="15"/>
      <c r="Q75" s="15"/>
      <c r="R75" s="15"/>
      <c r="S75" s="14"/>
      <c r="T75" s="14"/>
      <c r="U75" s="14"/>
      <c r="V75" s="14"/>
      <c r="W75" s="14"/>
      <c r="X75" s="15"/>
      <c r="Y75" s="15"/>
      <c r="Z75" s="15"/>
      <c r="AA75" s="15"/>
      <c r="AB75" s="15"/>
      <c r="AC75" s="13"/>
      <c r="AD75" s="14"/>
      <c r="AE75" s="14"/>
      <c r="AF75" s="14"/>
      <c r="AG75" s="14"/>
      <c r="AH75" s="16"/>
      <c r="AI75" s="16"/>
      <c r="AJ75" s="16"/>
      <c r="AK75" s="16"/>
      <c r="AL75" s="16"/>
      <c r="AM75" s="14"/>
      <c r="AN75" s="14"/>
      <c r="AO75" s="14"/>
      <c r="AP75" s="14"/>
      <c r="AQ75" s="14"/>
      <c r="AR75" s="16"/>
      <c r="AS75" s="16"/>
      <c r="AT75" s="16"/>
      <c r="AU75" s="16"/>
      <c r="AV75" s="16"/>
      <c r="AW75" s="13"/>
      <c r="AX75" s="14"/>
      <c r="AY75" s="14"/>
      <c r="AZ75" s="14"/>
      <c r="BA75" s="14"/>
      <c r="BB75" s="20"/>
      <c r="BC75" s="20"/>
      <c r="BD75" s="20"/>
      <c r="BE75" s="20"/>
      <c r="BF75" s="20"/>
      <c r="BG75" s="14"/>
      <c r="BH75" s="14"/>
      <c r="BI75" s="14"/>
      <c r="BJ75" s="14"/>
      <c r="BK75" s="14"/>
      <c r="BL75" s="20"/>
      <c r="BM75" s="20"/>
      <c r="BN75" s="20"/>
      <c r="BO75" s="20"/>
      <c r="BP75" s="20"/>
      <c r="BQ75" s="13"/>
      <c r="BR75" s="14"/>
      <c r="BS75" s="14"/>
      <c r="BT75" s="14"/>
      <c r="BU75" s="14"/>
      <c r="BV75" s="17"/>
      <c r="BW75" s="17"/>
      <c r="BX75" s="17"/>
      <c r="BY75" s="17"/>
      <c r="BZ75" s="17"/>
      <c r="CA75" s="14"/>
      <c r="CB75" s="14"/>
      <c r="CC75" s="14"/>
      <c r="CD75" s="14"/>
      <c r="CE75" s="14"/>
      <c r="CF75" s="17"/>
      <c r="CG75" s="17"/>
      <c r="CH75" s="17"/>
      <c r="CI75" s="17"/>
      <c r="CJ75" s="129"/>
      <c r="CK75" s="13"/>
      <c r="CL75" s="14"/>
      <c r="CM75" s="14"/>
      <c r="CN75" s="14"/>
      <c r="CO75" s="14"/>
      <c r="CP75" s="48"/>
      <c r="CQ75" s="47"/>
      <c r="CR75" s="47"/>
      <c r="CS75" s="47"/>
      <c r="CT75" s="47"/>
    </row>
    <row r="76" spans="1:353" s="97" customFormat="1" ht="19.95" customHeight="1" x14ac:dyDescent="0.3">
      <c r="A76"/>
      <c r="B76" s="44" t="s">
        <v>29</v>
      </c>
      <c r="C76" s="116" t="s">
        <v>167</v>
      </c>
      <c r="D76" s="119"/>
      <c r="E76" s="117"/>
      <c r="F76" s="117"/>
      <c r="G76" s="118" t="str">
        <f t="shared" si="4"/>
        <v/>
      </c>
      <c r="H76" s="45"/>
      <c r="I76" s="46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8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8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8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8"/>
      <c r="CL76" s="47"/>
      <c r="CM76" s="47"/>
      <c r="CN76" s="47"/>
      <c r="CO76" s="47"/>
      <c r="CP76" s="48"/>
      <c r="CQ76" s="47"/>
      <c r="CR76" s="47"/>
      <c r="CS76" s="47"/>
      <c r="CT76" s="47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</row>
    <row r="77" spans="1:353" ht="19.95" customHeight="1" x14ac:dyDescent="0.3">
      <c r="B77" s="24" t="s">
        <v>0</v>
      </c>
      <c r="C77" s="93" t="s">
        <v>173</v>
      </c>
      <c r="D77" s="96" t="s">
        <v>61</v>
      </c>
      <c r="E77" s="71">
        <v>46353</v>
      </c>
      <c r="F77" s="72">
        <v>46353</v>
      </c>
      <c r="G77" s="73">
        <f t="shared" ref="G77:G80" si="12">IF(OR(E77="",F77=""),"",NETWORKDAYS(E77,F77))</f>
        <v>1</v>
      </c>
      <c r="H77" s="28">
        <v>0</v>
      </c>
      <c r="I77" s="25"/>
      <c r="J77" s="14"/>
      <c r="K77" s="14"/>
      <c r="L77" s="14"/>
      <c r="M77" s="14"/>
      <c r="N77" s="15"/>
      <c r="O77" s="15"/>
      <c r="P77" s="15"/>
      <c r="Q77" s="15"/>
      <c r="R77" s="15"/>
      <c r="S77" s="14"/>
      <c r="T77" s="14"/>
      <c r="U77" s="14"/>
      <c r="V77" s="14"/>
      <c r="W77" s="14"/>
      <c r="X77" s="15"/>
      <c r="Y77" s="15"/>
      <c r="Z77" s="15"/>
      <c r="AA77" s="15"/>
      <c r="AB77" s="15"/>
      <c r="AC77" s="13"/>
      <c r="AD77" s="14"/>
      <c r="AE77" s="14"/>
      <c r="AF77" s="14"/>
      <c r="AG77" s="14"/>
      <c r="AH77" s="16"/>
      <c r="AI77" s="16"/>
      <c r="AJ77" s="16"/>
      <c r="AK77" s="16"/>
      <c r="AL77" s="16"/>
      <c r="AM77" s="14"/>
      <c r="AN77" s="14"/>
      <c r="AO77" s="14"/>
      <c r="AP77" s="14"/>
      <c r="AQ77" s="14"/>
      <c r="AR77" s="16"/>
      <c r="AS77" s="16"/>
      <c r="AT77" s="16"/>
      <c r="AU77" s="16"/>
      <c r="AV77" s="16"/>
      <c r="AW77" s="13"/>
      <c r="AX77" s="14"/>
      <c r="AY77" s="14"/>
      <c r="AZ77" s="14"/>
      <c r="BA77" s="14"/>
      <c r="BB77" s="20"/>
      <c r="BC77" s="20"/>
      <c r="BD77" s="20"/>
      <c r="BE77" s="20"/>
      <c r="BF77" s="20"/>
      <c r="BG77" s="14"/>
      <c r="BH77" s="14"/>
      <c r="BI77" s="14"/>
      <c r="BJ77" s="14"/>
      <c r="BK77" s="14"/>
      <c r="BL77" s="20"/>
      <c r="BM77" s="20"/>
      <c r="BN77" s="20"/>
      <c r="BO77" s="20"/>
      <c r="BP77" s="20"/>
      <c r="BQ77" s="13"/>
      <c r="BR77" s="14"/>
      <c r="BS77" s="14"/>
      <c r="BT77" s="14"/>
      <c r="BU77" s="14"/>
      <c r="BV77" s="17"/>
      <c r="BW77" s="17"/>
      <c r="BX77" s="17"/>
      <c r="BY77" s="17"/>
      <c r="BZ77" s="17"/>
      <c r="CA77" s="14"/>
      <c r="CB77" s="14"/>
      <c r="CC77" s="14"/>
      <c r="CD77" s="14"/>
      <c r="CE77" s="14"/>
      <c r="CF77" s="17"/>
      <c r="CG77" s="17"/>
      <c r="CH77" s="17"/>
      <c r="CI77" s="17"/>
      <c r="CJ77" s="129"/>
      <c r="CK77" s="13"/>
      <c r="CL77" s="13"/>
      <c r="CM77" s="13"/>
      <c r="CN77" s="13"/>
      <c r="CO77" s="13"/>
      <c r="CP77" s="48"/>
      <c r="CQ77" s="47"/>
      <c r="CR77" s="47"/>
      <c r="CS77" s="47"/>
      <c r="CT77" s="47"/>
    </row>
    <row r="78" spans="1:353" ht="19.95" customHeight="1" x14ac:dyDescent="0.3">
      <c r="B78" s="24" t="s">
        <v>1</v>
      </c>
      <c r="C78" s="93" t="s">
        <v>174</v>
      </c>
      <c r="D78" s="96" t="s">
        <v>60</v>
      </c>
      <c r="E78" s="71">
        <v>46357</v>
      </c>
      <c r="F78" s="72">
        <v>46358</v>
      </c>
      <c r="G78" s="73">
        <f t="shared" si="12"/>
        <v>2</v>
      </c>
      <c r="H78" s="28">
        <v>0</v>
      </c>
      <c r="I78" s="25"/>
      <c r="J78" s="14"/>
      <c r="K78" s="14"/>
      <c r="L78" s="14"/>
      <c r="M78" s="14"/>
      <c r="N78" s="15"/>
      <c r="O78" s="15"/>
      <c r="P78" s="15"/>
      <c r="Q78" s="15"/>
      <c r="R78" s="15"/>
      <c r="S78" s="14"/>
      <c r="T78" s="14"/>
      <c r="U78" s="14"/>
      <c r="V78" s="14"/>
      <c r="W78" s="14"/>
      <c r="X78" s="15"/>
      <c r="Y78" s="15"/>
      <c r="Z78" s="15"/>
      <c r="AA78" s="15"/>
      <c r="AB78" s="15"/>
      <c r="AC78" s="13"/>
      <c r="AD78" s="14"/>
      <c r="AE78" s="14"/>
      <c r="AF78" s="14"/>
      <c r="AG78" s="14"/>
      <c r="AH78" s="16"/>
      <c r="AI78" s="16"/>
      <c r="AJ78" s="16"/>
      <c r="AK78" s="16"/>
      <c r="AL78" s="16"/>
      <c r="AM78" s="14"/>
      <c r="AN78" s="14"/>
      <c r="AO78" s="14"/>
      <c r="AP78" s="14"/>
      <c r="AQ78" s="14"/>
      <c r="AR78" s="16"/>
      <c r="AS78" s="16"/>
      <c r="AT78" s="16"/>
      <c r="AU78" s="16"/>
      <c r="AV78" s="16"/>
      <c r="AW78" s="13"/>
      <c r="AX78" s="14"/>
      <c r="AY78" s="14"/>
      <c r="AZ78" s="14"/>
      <c r="BA78" s="14"/>
      <c r="BB78" s="20"/>
      <c r="BC78" s="20"/>
      <c r="BD78" s="20"/>
      <c r="BE78" s="20"/>
      <c r="BF78" s="20"/>
      <c r="BG78" s="14"/>
      <c r="BH78" s="14"/>
      <c r="BI78" s="14"/>
      <c r="BJ78" s="14"/>
      <c r="BK78" s="14"/>
      <c r="BL78" s="20"/>
      <c r="BM78" s="20"/>
      <c r="BN78" s="20"/>
      <c r="BO78" s="20"/>
      <c r="BP78" s="20"/>
      <c r="BQ78" s="13"/>
      <c r="BR78" s="14"/>
      <c r="BS78" s="14"/>
      <c r="BT78" s="14"/>
      <c r="BU78" s="14"/>
      <c r="BV78" s="17"/>
      <c r="BW78" s="17"/>
      <c r="BX78" s="17"/>
      <c r="BY78" s="17"/>
      <c r="BZ78" s="17"/>
      <c r="CA78" s="14"/>
      <c r="CB78" s="14"/>
      <c r="CC78" s="14"/>
      <c r="CD78" s="14"/>
      <c r="CE78" s="14"/>
      <c r="CF78" s="17"/>
      <c r="CG78" s="17"/>
      <c r="CH78" s="17"/>
      <c r="CI78" s="17"/>
      <c r="CJ78" s="17"/>
      <c r="CK78" s="13"/>
      <c r="CL78" s="130"/>
      <c r="CM78" s="130"/>
      <c r="CN78" s="13"/>
      <c r="CO78" s="13"/>
      <c r="CP78" s="48"/>
      <c r="CQ78" s="48"/>
      <c r="CR78" s="48"/>
      <c r="CS78" s="48"/>
      <c r="CT78" s="48"/>
    </row>
    <row r="79" spans="1:353" ht="19.95" customHeight="1" x14ac:dyDescent="0.3">
      <c r="B79" s="24" t="s">
        <v>164</v>
      </c>
      <c r="C79" s="93" t="s">
        <v>175</v>
      </c>
      <c r="D79" s="96" t="s">
        <v>55</v>
      </c>
      <c r="E79" s="71">
        <v>46357</v>
      </c>
      <c r="F79" s="72">
        <v>46359</v>
      </c>
      <c r="G79" s="73">
        <f t="shared" si="12"/>
        <v>3</v>
      </c>
      <c r="H79" s="28">
        <v>0</v>
      </c>
      <c r="I79" s="25"/>
      <c r="J79" s="14"/>
      <c r="K79" s="14"/>
      <c r="L79" s="14"/>
      <c r="M79" s="14"/>
      <c r="N79" s="15"/>
      <c r="O79" s="15"/>
      <c r="P79" s="15"/>
      <c r="Q79" s="15"/>
      <c r="R79" s="15"/>
      <c r="S79" s="14"/>
      <c r="T79" s="14"/>
      <c r="U79" s="14"/>
      <c r="V79" s="14"/>
      <c r="W79" s="14"/>
      <c r="X79" s="15"/>
      <c r="Y79" s="15"/>
      <c r="Z79" s="15"/>
      <c r="AA79" s="15"/>
      <c r="AB79" s="15"/>
      <c r="AC79" s="13"/>
      <c r="AD79" s="14"/>
      <c r="AE79" s="14"/>
      <c r="AF79" s="14"/>
      <c r="AG79" s="14"/>
      <c r="AH79" s="16"/>
      <c r="AI79" s="16"/>
      <c r="AJ79" s="16"/>
      <c r="AK79" s="16"/>
      <c r="AL79" s="16"/>
      <c r="AM79" s="14"/>
      <c r="AN79" s="14"/>
      <c r="AO79" s="14"/>
      <c r="AP79" s="14"/>
      <c r="AQ79" s="14"/>
      <c r="AR79" s="16"/>
      <c r="AS79" s="16"/>
      <c r="AT79" s="16"/>
      <c r="AU79" s="16"/>
      <c r="AV79" s="16"/>
      <c r="AW79" s="13"/>
      <c r="AX79" s="14"/>
      <c r="AY79" s="14"/>
      <c r="AZ79" s="14"/>
      <c r="BA79" s="14"/>
      <c r="BB79" s="20"/>
      <c r="BC79" s="20"/>
      <c r="BD79" s="20"/>
      <c r="BE79" s="20"/>
      <c r="BF79" s="20"/>
      <c r="BG79" s="14"/>
      <c r="BH79" s="14"/>
      <c r="BI79" s="14"/>
      <c r="BJ79" s="14"/>
      <c r="BK79" s="14"/>
      <c r="BL79" s="20"/>
      <c r="BM79" s="20"/>
      <c r="BN79" s="20"/>
      <c r="BO79" s="20"/>
      <c r="BP79" s="20"/>
      <c r="BQ79" s="13"/>
      <c r="BR79" s="14"/>
      <c r="BS79" s="14"/>
      <c r="BT79" s="14"/>
      <c r="BU79" s="14"/>
      <c r="BV79" s="17"/>
      <c r="BW79" s="17"/>
      <c r="BX79" s="17"/>
      <c r="BY79" s="17"/>
      <c r="BZ79" s="17"/>
      <c r="CA79" s="14"/>
      <c r="CB79" s="14"/>
      <c r="CC79" s="14"/>
      <c r="CD79" s="14"/>
      <c r="CE79" s="14"/>
      <c r="CF79" s="17"/>
      <c r="CG79" s="17"/>
      <c r="CH79" s="17"/>
      <c r="CI79" s="17"/>
      <c r="CJ79" s="17"/>
      <c r="CK79" s="13"/>
      <c r="CL79" s="130"/>
      <c r="CM79" s="130"/>
      <c r="CN79" s="130"/>
      <c r="CO79" s="13"/>
      <c r="CP79" s="48"/>
      <c r="CQ79" s="48"/>
      <c r="CR79" s="48"/>
      <c r="CS79" s="48"/>
      <c r="CT79" s="48"/>
    </row>
    <row r="80" spans="1:353" ht="19.95" customHeight="1" x14ac:dyDescent="0.3">
      <c r="B80" s="24" t="s">
        <v>165</v>
      </c>
      <c r="C80" s="93" t="s">
        <v>176</v>
      </c>
      <c r="D80" s="96" t="s">
        <v>61</v>
      </c>
      <c r="E80" s="71">
        <v>46359</v>
      </c>
      <c r="F80" s="72">
        <v>46360</v>
      </c>
      <c r="G80" s="73">
        <f t="shared" si="12"/>
        <v>2</v>
      </c>
      <c r="H80" s="28">
        <v>0</v>
      </c>
      <c r="I80" s="25"/>
      <c r="J80" s="14"/>
      <c r="K80" s="14"/>
      <c r="L80" s="14"/>
      <c r="M80" s="14"/>
      <c r="N80" s="15"/>
      <c r="O80" s="15"/>
      <c r="P80" s="15"/>
      <c r="Q80" s="15"/>
      <c r="R80" s="15"/>
      <c r="S80" s="14"/>
      <c r="T80" s="14"/>
      <c r="U80" s="14"/>
      <c r="V80" s="14"/>
      <c r="W80" s="14"/>
      <c r="X80" s="15"/>
      <c r="Y80" s="15"/>
      <c r="Z80" s="15"/>
      <c r="AA80" s="15"/>
      <c r="AB80" s="15"/>
      <c r="AC80" s="13"/>
      <c r="AD80" s="14"/>
      <c r="AE80" s="14"/>
      <c r="AF80" s="14"/>
      <c r="AG80" s="14"/>
      <c r="AH80" s="16"/>
      <c r="AI80" s="16"/>
      <c r="AJ80" s="16"/>
      <c r="AK80" s="16"/>
      <c r="AL80" s="16"/>
      <c r="AM80" s="14"/>
      <c r="AN80" s="14"/>
      <c r="AO80" s="14"/>
      <c r="AP80" s="14"/>
      <c r="AQ80" s="14"/>
      <c r="AR80" s="16"/>
      <c r="AS80" s="16"/>
      <c r="AT80" s="16"/>
      <c r="AU80" s="16"/>
      <c r="AV80" s="16"/>
      <c r="AW80" s="13"/>
      <c r="AX80" s="14"/>
      <c r="AY80" s="14"/>
      <c r="AZ80" s="14"/>
      <c r="BA80" s="14"/>
      <c r="BB80" s="20"/>
      <c r="BC80" s="20"/>
      <c r="BD80" s="20"/>
      <c r="BE80" s="20"/>
      <c r="BF80" s="20"/>
      <c r="BG80" s="14"/>
      <c r="BH80" s="14"/>
      <c r="BI80" s="14"/>
      <c r="BJ80" s="14"/>
      <c r="BK80" s="14"/>
      <c r="BL80" s="20"/>
      <c r="BM80" s="20"/>
      <c r="BN80" s="20"/>
      <c r="BO80" s="20"/>
      <c r="BP80" s="20"/>
      <c r="BQ80" s="13"/>
      <c r="BR80" s="14"/>
      <c r="BS80" s="14"/>
      <c r="BT80" s="14"/>
      <c r="BU80" s="14"/>
      <c r="BV80" s="17"/>
      <c r="BW80" s="17"/>
      <c r="BX80" s="17"/>
      <c r="BY80" s="17"/>
      <c r="BZ80" s="17"/>
      <c r="CA80" s="14"/>
      <c r="CB80" s="14"/>
      <c r="CC80" s="14"/>
      <c r="CD80" s="14"/>
      <c r="CE80" s="14"/>
      <c r="CF80" s="17"/>
      <c r="CG80" s="17"/>
      <c r="CH80" s="17"/>
      <c r="CI80" s="17"/>
      <c r="CJ80" s="17"/>
      <c r="CK80" s="13"/>
      <c r="CL80" s="13"/>
      <c r="CM80" s="13"/>
      <c r="CN80" s="130"/>
      <c r="CO80" s="130"/>
      <c r="CP80" s="48"/>
      <c r="CQ80" s="48"/>
      <c r="CR80" s="48"/>
      <c r="CS80" s="48"/>
      <c r="CT80" s="48"/>
    </row>
    <row r="81" spans="1:353" s="97" customFormat="1" ht="19.95" customHeight="1" x14ac:dyDescent="0.3">
      <c r="A81"/>
      <c r="B81" s="44" t="s">
        <v>30</v>
      </c>
      <c r="C81" s="116" t="s">
        <v>168</v>
      </c>
      <c r="D81" s="119"/>
      <c r="E81" s="117"/>
      <c r="F81" s="117"/>
      <c r="G81" s="118" t="str">
        <f t="shared" ref="G81" si="13">IF(F81-E81=0,"",F81-E81)</f>
        <v/>
      </c>
      <c r="H81" s="45"/>
      <c r="I81" s="46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8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8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8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8"/>
      <c r="CL81" s="47"/>
      <c r="CM81" s="47"/>
      <c r="CN81" s="47"/>
      <c r="CO81" s="47"/>
      <c r="CP81" s="48"/>
      <c r="CQ81" s="47"/>
      <c r="CR81" s="47"/>
      <c r="CS81" s="47"/>
      <c r="CT81" s="47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</row>
    <row r="82" spans="1:353" ht="19.95" customHeight="1" x14ac:dyDescent="0.3">
      <c r="B82" s="24" t="s">
        <v>2</v>
      </c>
      <c r="C82" s="93" t="s">
        <v>177</v>
      </c>
      <c r="D82" s="96" t="s">
        <v>61</v>
      </c>
      <c r="E82" s="71">
        <v>46360</v>
      </c>
      <c r="F82" s="72">
        <v>46360</v>
      </c>
      <c r="G82" s="73">
        <f t="shared" ref="G82:G83" si="14">IF(OR(E82="",F82=""),"",NETWORKDAYS(E82,F82))</f>
        <v>1</v>
      </c>
      <c r="H82" s="28">
        <v>0</v>
      </c>
      <c r="I82" s="25"/>
      <c r="J82" s="14"/>
      <c r="K82" s="14"/>
      <c r="L82" s="14"/>
      <c r="M82" s="14"/>
      <c r="N82" s="15"/>
      <c r="O82" s="15"/>
      <c r="P82" s="15"/>
      <c r="Q82" s="15"/>
      <c r="R82" s="15"/>
      <c r="S82" s="14"/>
      <c r="T82" s="14"/>
      <c r="U82" s="14"/>
      <c r="V82" s="14"/>
      <c r="W82" s="14"/>
      <c r="X82" s="15"/>
      <c r="Y82" s="15"/>
      <c r="Z82" s="15"/>
      <c r="AA82" s="15"/>
      <c r="AB82" s="15"/>
      <c r="AC82" s="13"/>
      <c r="AD82" s="14"/>
      <c r="AE82" s="14"/>
      <c r="AF82" s="14"/>
      <c r="AG82" s="14"/>
      <c r="AH82" s="16"/>
      <c r="AI82" s="16"/>
      <c r="AJ82" s="16"/>
      <c r="AK82" s="16"/>
      <c r="AL82" s="16"/>
      <c r="AM82" s="14"/>
      <c r="AN82" s="14"/>
      <c r="AO82" s="14"/>
      <c r="AP82" s="14"/>
      <c r="AQ82" s="14"/>
      <c r="AR82" s="16"/>
      <c r="AS82" s="16"/>
      <c r="AT82" s="16"/>
      <c r="AU82" s="16"/>
      <c r="AV82" s="16"/>
      <c r="AW82" s="13"/>
      <c r="AX82" s="14"/>
      <c r="AY82" s="14"/>
      <c r="AZ82" s="14"/>
      <c r="BA82" s="14"/>
      <c r="BB82" s="20"/>
      <c r="BC82" s="20"/>
      <c r="BD82" s="20"/>
      <c r="BE82" s="20"/>
      <c r="BF82" s="20"/>
      <c r="BG82" s="14"/>
      <c r="BH82" s="14"/>
      <c r="BI82" s="14"/>
      <c r="BJ82" s="14"/>
      <c r="BK82" s="14"/>
      <c r="BL82" s="20"/>
      <c r="BM82" s="20"/>
      <c r="BN82" s="20"/>
      <c r="BO82" s="20"/>
      <c r="BP82" s="20"/>
      <c r="BQ82" s="13"/>
      <c r="BR82" s="14"/>
      <c r="BS82" s="14"/>
      <c r="BT82" s="14"/>
      <c r="BU82" s="14"/>
      <c r="BV82" s="17"/>
      <c r="BW82" s="17"/>
      <c r="BX82" s="17"/>
      <c r="BY82" s="17"/>
      <c r="BZ82" s="17"/>
      <c r="CA82" s="14"/>
      <c r="CB82" s="14"/>
      <c r="CC82" s="14"/>
      <c r="CD82" s="14"/>
      <c r="CE82" s="14"/>
      <c r="CF82" s="17"/>
      <c r="CG82" s="17"/>
      <c r="CH82" s="17"/>
      <c r="CI82" s="17"/>
      <c r="CJ82" s="17"/>
      <c r="CK82" s="13"/>
      <c r="CL82" s="14"/>
      <c r="CM82" s="14"/>
      <c r="CN82" s="14"/>
      <c r="CO82" s="130"/>
      <c r="CP82" s="48"/>
      <c r="CQ82" s="48"/>
      <c r="CR82" s="48"/>
      <c r="CS82" s="48"/>
      <c r="CT82" s="48"/>
    </row>
    <row r="83" spans="1:353" ht="19.95" customHeight="1" x14ac:dyDescent="0.3">
      <c r="B83" s="24" t="s">
        <v>178</v>
      </c>
      <c r="C83" s="93" t="s">
        <v>179</v>
      </c>
      <c r="D83" s="96" t="s">
        <v>61</v>
      </c>
      <c r="E83" s="71">
        <v>46363</v>
      </c>
      <c r="F83" s="72">
        <v>46363</v>
      </c>
      <c r="G83" s="73">
        <f t="shared" si="14"/>
        <v>1</v>
      </c>
      <c r="H83" s="28">
        <v>0</v>
      </c>
      <c r="I83" s="25"/>
      <c r="J83" s="14"/>
      <c r="K83" s="14"/>
      <c r="L83" s="14"/>
      <c r="M83" s="14"/>
      <c r="N83" s="15"/>
      <c r="O83" s="15"/>
      <c r="P83" s="15"/>
      <c r="Q83" s="15"/>
      <c r="R83" s="15"/>
      <c r="S83" s="14"/>
      <c r="T83" s="14"/>
      <c r="U83" s="14"/>
      <c r="V83" s="14"/>
      <c r="W83" s="14"/>
      <c r="X83" s="15"/>
      <c r="Y83" s="15"/>
      <c r="Z83" s="15"/>
      <c r="AA83" s="15"/>
      <c r="AB83" s="15"/>
      <c r="AC83" s="13"/>
      <c r="AD83" s="14"/>
      <c r="AE83" s="14"/>
      <c r="AF83" s="14"/>
      <c r="AG83" s="14"/>
      <c r="AH83" s="16"/>
      <c r="AI83" s="16"/>
      <c r="AJ83" s="16"/>
      <c r="AK83" s="16"/>
      <c r="AL83" s="16"/>
      <c r="AM83" s="14"/>
      <c r="AN83" s="14"/>
      <c r="AO83" s="14"/>
      <c r="AP83" s="14"/>
      <c r="AQ83" s="14"/>
      <c r="AR83" s="16"/>
      <c r="AS83" s="16"/>
      <c r="AT83" s="16"/>
      <c r="AU83" s="16"/>
      <c r="AV83" s="16"/>
      <c r="AW83" s="13"/>
      <c r="AX83" s="14"/>
      <c r="AY83" s="14"/>
      <c r="AZ83" s="14"/>
      <c r="BA83" s="14"/>
      <c r="BB83" s="20"/>
      <c r="BC83" s="20"/>
      <c r="BD83" s="20"/>
      <c r="BE83" s="20"/>
      <c r="BF83" s="20"/>
      <c r="BG83" s="14"/>
      <c r="BH83" s="14"/>
      <c r="BI83" s="14"/>
      <c r="BJ83" s="14"/>
      <c r="BK83" s="14"/>
      <c r="BL83" s="20"/>
      <c r="BM83" s="20"/>
      <c r="BN83" s="20"/>
      <c r="BO83" s="20"/>
      <c r="BP83" s="20"/>
      <c r="BQ83" s="13"/>
      <c r="BR83" s="14"/>
      <c r="BS83" s="14"/>
      <c r="BT83" s="14"/>
      <c r="BU83" s="14"/>
      <c r="BV83" s="17"/>
      <c r="BW83" s="17"/>
      <c r="BX83" s="17"/>
      <c r="BY83" s="17"/>
      <c r="BZ83" s="17"/>
      <c r="CA83" s="14"/>
      <c r="CB83" s="14"/>
      <c r="CC83" s="14"/>
      <c r="CD83" s="14"/>
      <c r="CE83" s="14"/>
      <c r="CF83" s="17"/>
      <c r="CG83" s="17"/>
      <c r="CH83" s="17"/>
      <c r="CI83" s="17"/>
      <c r="CJ83" s="17"/>
      <c r="CK83" s="13"/>
      <c r="CL83" s="14"/>
      <c r="CM83" s="14"/>
      <c r="CN83" s="14"/>
      <c r="CO83" s="13"/>
      <c r="CP83" s="130"/>
      <c r="CQ83" s="48"/>
      <c r="CR83" s="48"/>
      <c r="CS83" s="48"/>
      <c r="CT83" s="48"/>
    </row>
  </sheetData>
  <mergeCells count="28">
    <mergeCell ref="CF8:CJ8"/>
    <mergeCell ref="I8:M8"/>
    <mergeCell ref="N8:R8"/>
    <mergeCell ref="BB8:BF8"/>
    <mergeCell ref="BL8:BP8"/>
    <mergeCell ref="BQ8:BU8"/>
    <mergeCell ref="BV8:BZ8"/>
    <mergeCell ref="S8:W8"/>
    <mergeCell ref="AC8:AG8"/>
    <mergeCell ref="AH8:AL8"/>
    <mergeCell ref="AR8:AV8"/>
    <mergeCell ref="AW8:BA8"/>
    <mergeCell ref="CP8:CT8"/>
    <mergeCell ref="CK7:CT7"/>
    <mergeCell ref="I6:X6"/>
    <mergeCell ref="Y6:AT6"/>
    <mergeCell ref="AU6:BP6"/>
    <mergeCell ref="BQ6:CK6"/>
    <mergeCell ref="CL6:CT6"/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</mergeCells>
  <phoneticPr fontId="10" type="noConversion"/>
  <conditionalFormatting sqref="H10:H83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H10:H83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Yasna Villarroel Arellano</cp:lastModifiedBy>
  <dcterms:created xsi:type="dcterms:W3CDTF">2016-03-21T16:06:55Z</dcterms:created>
  <dcterms:modified xsi:type="dcterms:W3CDTF">2026-08-31T02:01:29Z</dcterms:modified>
</cp:coreProperties>
</file>